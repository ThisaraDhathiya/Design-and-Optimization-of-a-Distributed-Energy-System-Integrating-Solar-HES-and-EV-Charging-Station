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fyp\logger\"/>
    </mc:Choice>
  </mc:AlternateContent>
  <xr:revisionPtr revIDLastSave="0" documentId="13_ncr:1_{37EB259C-2D70-40E3-A413-1C97E3FF2201}" xr6:coauthVersionLast="47" xr6:coauthVersionMax="47" xr10:uidLastSave="{00000000-0000-0000-0000-000000000000}"/>
  <bookViews>
    <workbookView xWindow="-108" yWindow="-108" windowWidth="23256" windowHeight="12456" firstSheet="9" activeTab="15" xr2:uid="{2D0A635A-AF3C-447E-A5FF-29CD3A566796}"/>
  </bookViews>
  <sheets>
    <sheet name="Mechanical Dept" sheetId="1" r:id="rId1"/>
    <sheet name="Auditorium" sheetId="2" r:id="rId2"/>
    <sheet name="_x0009_Lecture Theatre" sheetId="3" r:id="rId3"/>
    <sheet name="_x0009_Administration" sheetId="4" r:id="rId4"/>
    <sheet name="_x0009_Library" sheetId="5" r:id="rId5"/>
    <sheet name="Guest House" sheetId="6" r:id="rId6"/>
    <sheet name="_x0009_Hostel D" sheetId="7" r:id="rId7"/>
    <sheet name="_x0009_Hostel C" sheetId="8" r:id="rId8"/>
    <sheet name="Hostal A" sheetId="9" r:id="rId9"/>
    <sheet name="Hostal B" sheetId="10" r:id="rId10"/>
    <sheet name="_x0009_Gymnasium" sheetId="11" r:id="rId11"/>
    <sheet name="lower canteen " sheetId="12" r:id="rId12"/>
    <sheet name="Hostal f" sheetId="13" r:id="rId13"/>
    <sheet name="electrical buildin" sheetId="14" r:id="rId14"/>
    <sheet name="LT" sheetId="15" r:id="rId15"/>
    <sheet name="mechanical workshop" sheetId="16" r:id="rId16"/>
  </sheets>
  <externalReferences>
    <externalReference r:id="rId17"/>
    <externalReference r:id="rId1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93" i="15" l="1"/>
  <c r="Q93" i="15"/>
  <c r="P93" i="15"/>
  <c r="S93" i="15" s="1"/>
  <c r="O93" i="15"/>
  <c r="R92" i="15"/>
  <c r="Q92" i="15"/>
  <c r="P92" i="15"/>
  <c r="S92" i="15" s="1"/>
  <c r="O92" i="15"/>
  <c r="R91" i="15"/>
  <c r="Q91" i="15"/>
  <c r="P91" i="15"/>
  <c r="S91" i="15" s="1"/>
  <c r="O91" i="15"/>
  <c r="R90" i="15"/>
  <c r="S90" i="15" s="1"/>
  <c r="Q90" i="15"/>
  <c r="P90" i="15"/>
  <c r="O90" i="15"/>
  <c r="R89" i="15"/>
  <c r="Q89" i="15"/>
  <c r="P89" i="15"/>
  <c r="S89" i="15" s="1"/>
  <c r="O89" i="15"/>
  <c r="R88" i="15"/>
  <c r="Q88" i="15"/>
  <c r="P88" i="15"/>
  <c r="S88" i="15" s="1"/>
  <c r="O88" i="15"/>
  <c r="R87" i="15"/>
  <c r="Q87" i="15"/>
  <c r="S87" i="15" s="1"/>
  <c r="P87" i="15"/>
  <c r="O87" i="15"/>
  <c r="R86" i="15"/>
  <c r="Q86" i="15"/>
  <c r="S86" i="15" s="1"/>
  <c r="P86" i="15"/>
  <c r="O86" i="15"/>
  <c r="S85" i="15"/>
  <c r="R85" i="15"/>
  <c r="Q85" i="15"/>
  <c r="P85" i="15"/>
  <c r="O85" i="15"/>
  <c r="R84" i="15"/>
  <c r="Q84" i="15"/>
  <c r="P84" i="15"/>
  <c r="S84" i="15" s="1"/>
  <c r="O84" i="15"/>
  <c r="R83" i="15"/>
  <c r="Q83" i="15"/>
  <c r="P83" i="15"/>
  <c r="S83" i="15" s="1"/>
  <c r="O83" i="15"/>
  <c r="R82" i="15"/>
  <c r="S82" i="15" s="1"/>
  <c r="Q82" i="15"/>
  <c r="P82" i="15"/>
  <c r="O82" i="15"/>
  <c r="R81" i="15"/>
  <c r="Q81" i="15"/>
  <c r="P81" i="15"/>
  <c r="S81" i="15" s="1"/>
  <c r="O81" i="15"/>
  <c r="R80" i="15"/>
  <c r="Q80" i="15"/>
  <c r="P80" i="15"/>
  <c r="S80" i="15" s="1"/>
  <c r="O80" i="15"/>
  <c r="R79" i="15"/>
  <c r="Q79" i="15"/>
  <c r="S79" i="15" s="1"/>
  <c r="P79" i="15"/>
  <c r="O79" i="15"/>
  <c r="R78" i="15"/>
  <c r="Q78" i="15"/>
  <c r="S78" i="15" s="1"/>
  <c r="P78" i="15"/>
  <c r="O78" i="15"/>
  <c r="S77" i="15"/>
  <c r="R77" i="15"/>
  <c r="Q77" i="15"/>
  <c r="P77" i="15"/>
  <c r="O77" i="15"/>
  <c r="R76" i="15"/>
  <c r="Q76" i="15"/>
  <c r="P76" i="15"/>
  <c r="S76" i="15" s="1"/>
  <c r="O76" i="15"/>
  <c r="R75" i="15"/>
  <c r="Q75" i="15"/>
  <c r="P75" i="15"/>
  <c r="S75" i="15" s="1"/>
  <c r="O75" i="15"/>
  <c r="R74" i="15"/>
  <c r="S74" i="15" s="1"/>
  <c r="Q74" i="15"/>
  <c r="P74" i="15"/>
  <c r="O74" i="15"/>
  <c r="R73" i="15"/>
  <c r="Q73" i="15"/>
  <c r="P73" i="15"/>
  <c r="S73" i="15" s="1"/>
  <c r="O73" i="15"/>
  <c r="R72" i="15"/>
  <c r="Q72" i="15"/>
  <c r="P72" i="15"/>
  <c r="S72" i="15" s="1"/>
  <c r="O72" i="15"/>
  <c r="R71" i="15"/>
  <c r="Q71" i="15"/>
  <c r="S71" i="15" s="1"/>
  <c r="P71" i="15"/>
  <c r="O71" i="15"/>
  <c r="R70" i="15"/>
  <c r="Q70" i="15"/>
  <c r="S70" i="15" s="1"/>
  <c r="P70" i="15"/>
  <c r="O70" i="15"/>
  <c r="S69" i="15"/>
  <c r="R69" i="15"/>
  <c r="Q69" i="15"/>
  <c r="P69" i="15"/>
  <c r="O69" i="15"/>
  <c r="R68" i="15"/>
  <c r="Q68" i="15"/>
  <c r="P68" i="15"/>
  <c r="S68" i="15" s="1"/>
  <c r="O68" i="15"/>
  <c r="R67" i="15"/>
  <c r="Q67" i="15"/>
  <c r="P67" i="15"/>
  <c r="S67" i="15" s="1"/>
  <c r="O67" i="15"/>
  <c r="R66" i="15"/>
  <c r="S66" i="15" s="1"/>
  <c r="Q66" i="15"/>
  <c r="P66" i="15"/>
  <c r="O66" i="15"/>
  <c r="R65" i="15"/>
  <c r="Q65" i="15"/>
  <c r="P65" i="15"/>
  <c r="S65" i="15" s="1"/>
  <c r="O65" i="15"/>
  <c r="R64" i="15"/>
  <c r="Q64" i="15"/>
  <c r="P64" i="15"/>
  <c r="S64" i="15" s="1"/>
  <c r="O64" i="15"/>
  <c r="R63" i="15"/>
  <c r="Q63" i="15"/>
  <c r="S63" i="15" s="1"/>
  <c r="P63" i="15"/>
  <c r="O63" i="15"/>
  <c r="R62" i="15"/>
  <c r="Q62" i="15"/>
  <c r="S62" i="15" s="1"/>
  <c r="P62" i="15"/>
  <c r="O62" i="15"/>
  <c r="S61" i="15"/>
  <c r="R61" i="15"/>
  <c r="Q61" i="15"/>
  <c r="P61" i="15"/>
  <c r="O61" i="15"/>
  <c r="R60" i="15"/>
  <c r="Q60" i="15"/>
  <c r="P60" i="15"/>
  <c r="S60" i="15" s="1"/>
  <c r="O60" i="15"/>
  <c r="R59" i="15"/>
  <c r="Q59" i="15"/>
  <c r="P59" i="15"/>
  <c r="S59" i="15" s="1"/>
  <c r="O59" i="15"/>
  <c r="R58" i="15"/>
  <c r="S58" i="15" s="1"/>
  <c r="Q58" i="15"/>
  <c r="P58" i="15"/>
  <c r="O58" i="15"/>
  <c r="R57" i="15"/>
  <c r="Q57" i="15"/>
  <c r="P57" i="15"/>
  <c r="S57" i="15" s="1"/>
  <c r="O57" i="15"/>
  <c r="R56" i="15"/>
  <c r="Q56" i="15"/>
  <c r="P56" i="15"/>
  <c r="S56" i="15" s="1"/>
  <c r="O56" i="15"/>
  <c r="R55" i="15"/>
  <c r="Q55" i="15"/>
  <c r="S55" i="15" s="1"/>
  <c r="P55" i="15"/>
  <c r="O55" i="15"/>
  <c r="R54" i="15"/>
  <c r="Q54" i="15"/>
  <c r="S54" i="15" s="1"/>
  <c r="P54" i="15"/>
  <c r="O54" i="15"/>
  <c r="S53" i="15"/>
  <c r="R53" i="15"/>
  <c r="Q53" i="15"/>
  <c r="P53" i="15"/>
  <c r="O53" i="15"/>
  <c r="R52" i="15"/>
  <c r="Q52" i="15"/>
  <c r="P52" i="15"/>
  <c r="S52" i="15" s="1"/>
  <c r="O52" i="15"/>
  <c r="R51" i="15"/>
  <c r="Q51" i="15"/>
  <c r="P51" i="15"/>
  <c r="S51" i="15" s="1"/>
  <c r="O51" i="15"/>
  <c r="R50" i="15"/>
  <c r="S50" i="15" s="1"/>
  <c r="Q50" i="15"/>
  <c r="P50" i="15"/>
  <c r="O50" i="15"/>
  <c r="R49" i="15"/>
  <c r="Q49" i="15"/>
  <c r="P49" i="15"/>
  <c r="S49" i="15" s="1"/>
  <c r="O49" i="15"/>
  <c r="R48" i="15"/>
  <c r="Q48" i="15"/>
  <c r="P48" i="15"/>
  <c r="S48" i="15" s="1"/>
  <c r="O48" i="15"/>
  <c r="R47" i="15"/>
  <c r="Q47" i="15"/>
  <c r="S47" i="15" s="1"/>
  <c r="P47" i="15"/>
  <c r="O47" i="15"/>
  <c r="R46" i="15"/>
  <c r="Q46" i="15"/>
  <c r="S46" i="15" s="1"/>
  <c r="P46" i="15"/>
  <c r="O46" i="15"/>
  <c r="S45" i="15"/>
  <c r="R45" i="15"/>
  <c r="Q45" i="15"/>
  <c r="P45" i="15"/>
  <c r="O45" i="15"/>
  <c r="R44" i="15"/>
  <c r="Q44" i="15"/>
  <c r="P44" i="15"/>
  <c r="S44" i="15" s="1"/>
  <c r="O44" i="15"/>
  <c r="R43" i="15"/>
  <c r="Q43" i="15"/>
  <c r="P43" i="15"/>
  <c r="S43" i="15" s="1"/>
  <c r="O43" i="15"/>
  <c r="R42" i="15"/>
  <c r="S42" i="15" s="1"/>
  <c r="Q42" i="15"/>
  <c r="P42" i="15"/>
  <c r="O42" i="15"/>
  <c r="R41" i="15"/>
  <c r="Q41" i="15"/>
  <c r="P41" i="15"/>
  <c r="S41" i="15" s="1"/>
  <c r="O41" i="15"/>
  <c r="R40" i="15"/>
  <c r="Q40" i="15"/>
  <c r="P40" i="15"/>
  <c r="S40" i="15" s="1"/>
  <c r="O40" i="15"/>
  <c r="R39" i="15"/>
  <c r="Q39" i="15"/>
  <c r="S39" i="15" s="1"/>
  <c r="P39" i="15"/>
  <c r="O39" i="15"/>
  <c r="R38" i="15"/>
  <c r="Q38" i="15"/>
  <c r="S38" i="15" s="1"/>
  <c r="P38" i="15"/>
  <c r="O38" i="15"/>
  <c r="S37" i="15"/>
  <c r="R37" i="15"/>
  <c r="Q37" i="15"/>
  <c r="P37" i="15"/>
  <c r="O37" i="15"/>
  <c r="R36" i="15"/>
  <c r="Q36" i="15"/>
  <c r="P36" i="15"/>
  <c r="S36" i="15" s="1"/>
  <c r="O36" i="15"/>
  <c r="R35" i="15"/>
  <c r="Q35" i="15"/>
  <c r="P35" i="15"/>
  <c r="S35" i="15" s="1"/>
  <c r="O35" i="15"/>
  <c r="R34" i="15"/>
  <c r="S34" i="15" s="1"/>
  <c r="Q34" i="15"/>
  <c r="P34" i="15"/>
  <c r="O34" i="15"/>
  <c r="R33" i="15"/>
  <c r="Q33" i="15"/>
  <c r="P33" i="15"/>
  <c r="S33" i="15" s="1"/>
  <c r="O33" i="15"/>
  <c r="R32" i="15"/>
  <c r="Q32" i="15"/>
  <c r="P32" i="15"/>
  <c r="S32" i="15" s="1"/>
  <c r="O32" i="15"/>
  <c r="R31" i="15"/>
  <c r="Q31" i="15"/>
  <c r="S31" i="15" s="1"/>
  <c r="P31" i="15"/>
  <c r="O31" i="15"/>
  <c r="R30" i="15"/>
  <c r="Q30" i="15"/>
  <c r="S30" i="15" s="1"/>
  <c r="P30" i="15"/>
  <c r="O30" i="15"/>
  <c r="S29" i="15"/>
  <c r="R29" i="15"/>
  <c r="Q29" i="15"/>
  <c r="P29" i="15"/>
  <c r="O29" i="15"/>
  <c r="R28" i="15"/>
  <c r="Q28" i="15"/>
  <c r="P28" i="15"/>
  <c r="S28" i="15" s="1"/>
  <c r="O28" i="15"/>
  <c r="R27" i="15"/>
  <c r="Q27" i="15"/>
  <c r="P27" i="15"/>
  <c r="S27" i="15" s="1"/>
  <c r="O27" i="15"/>
  <c r="R26" i="15"/>
  <c r="S26" i="15" s="1"/>
  <c r="Q26" i="15"/>
  <c r="P26" i="15"/>
  <c r="O26" i="15"/>
  <c r="R25" i="15"/>
  <c r="Q25" i="15"/>
  <c r="P25" i="15"/>
  <c r="S25" i="15" s="1"/>
  <c r="O25" i="15"/>
  <c r="R24" i="15"/>
  <c r="Q24" i="15"/>
  <c r="P24" i="15"/>
  <c r="S24" i="15" s="1"/>
  <c r="O24" i="15"/>
  <c r="R23" i="15"/>
  <c r="Q23" i="15"/>
  <c r="S23" i="15" s="1"/>
  <c r="P23" i="15"/>
  <c r="O23" i="15"/>
  <c r="R22" i="15"/>
  <c r="Q22" i="15"/>
  <c r="S22" i="15" s="1"/>
  <c r="P22" i="15"/>
  <c r="O22" i="15"/>
  <c r="S21" i="15"/>
  <c r="R21" i="15"/>
  <c r="Q21" i="15"/>
  <c r="P21" i="15"/>
  <c r="O21" i="15"/>
  <c r="R20" i="15"/>
  <c r="Q20" i="15"/>
  <c r="P20" i="15"/>
  <c r="S20" i="15" s="1"/>
  <c r="O20" i="15"/>
  <c r="R19" i="15"/>
  <c r="Q19" i="15"/>
  <c r="P19" i="15"/>
  <c r="S19" i="15" s="1"/>
  <c r="O19" i="15"/>
  <c r="R18" i="15"/>
  <c r="S18" i="15" s="1"/>
  <c r="Q18" i="15"/>
  <c r="P18" i="15"/>
  <c r="O18" i="15"/>
  <c r="R17" i="15"/>
  <c r="Q17" i="15"/>
  <c r="P17" i="15"/>
  <c r="S17" i="15" s="1"/>
  <c r="O17" i="15"/>
  <c r="R16" i="15"/>
  <c r="Q16" i="15"/>
  <c r="P16" i="15"/>
  <c r="S16" i="15" s="1"/>
  <c r="O16" i="15"/>
  <c r="R15" i="15"/>
  <c r="Q15" i="15"/>
  <c r="S15" i="15" s="1"/>
  <c r="P15" i="15"/>
  <c r="O15" i="15"/>
  <c r="R14" i="15"/>
  <c r="Q14" i="15"/>
  <c r="S14" i="15" s="1"/>
  <c r="P14" i="15"/>
  <c r="O14" i="15"/>
  <c r="S13" i="15"/>
  <c r="R13" i="15"/>
  <c r="Q13" i="15"/>
  <c r="P13" i="15"/>
  <c r="O13" i="15"/>
  <c r="R12" i="15"/>
  <c r="Q12" i="15"/>
  <c r="P12" i="15"/>
  <c r="S12" i="15" s="1"/>
  <c r="O12" i="15"/>
  <c r="R11" i="15"/>
  <c r="Q11" i="15"/>
  <c r="P11" i="15"/>
  <c r="S11" i="15" s="1"/>
  <c r="O11" i="15"/>
  <c r="R10" i="15"/>
  <c r="S10" i="15" s="1"/>
  <c r="Q10" i="15"/>
  <c r="P10" i="15"/>
  <c r="O10" i="15"/>
  <c r="R9" i="15"/>
  <c r="Q9" i="15"/>
  <c r="P9" i="15"/>
  <c r="S9" i="15" s="1"/>
  <c r="O9" i="15"/>
  <c r="R8" i="15"/>
  <c r="Q8" i="15"/>
  <c r="P8" i="15"/>
  <c r="S8" i="15" s="1"/>
  <c r="O8" i="15"/>
  <c r="R7" i="15"/>
  <c r="Q7" i="15"/>
  <c r="S7" i="15" s="1"/>
  <c r="P7" i="15"/>
  <c r="O7" i="15"/>
  <c r="R6" i="15"/>
  <c r="Q6" i="15"/>
  <c r="S6" i="15" s="1"/>
  <c r="P6" i="15"/>
  <c r="O6" i="15"/>
  <c r="S5" i="15"/>
  <c r="R5" i="15"/>
  <c r="Q5" i="15"/>
  <c r="P5" i="15"/>
  <c r="O5" i="15"/>
  <c r="R4" i="15"/>
  <c r="Q4" i="15"/>
  <c r="P4" i="15"/>
  <c r="S4" i="15" s="1"/>
  <c r="O4" i="15"/>
  <c r="R3" i="15"/>
  <c r="Q3" i="15"/>
  <c r="P3" i="15"/>
  <c r="S3" i="15" s="1"/>
  <c r="O3" i="15"/>
  <c r="R2" i="15"/>
  <c r="S2" i="15" s="1"/>
  <c r="Q2" i="15"/>
  <c r="P2" i="15"/>
  <c r="O2" i="15"/>
  <c r="D2" i="13"/>
  <c r="D3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O98" i="8"/>
  <c r="O97" i="8"/>
  <c r="O96" i="8"/>
  <c r="O95" i="8"/>
  <c r="O94" i="8"/>
  <c r="O93" i="8"/>
  <c r="O92" i="8"/>
  <c r="O91" i="8"/>
  <c r="O90" i="8"/>
  <c r="O89" i="8"/>
  <c r="O88" i="8"/>
  <c r="O87" i="8"/>
  <c r="O86" i="8"/>
  <c r="O85" i="8"/>
  <c r="O84" i="8"/>
  <c r="O83" i="8"/>
  <c r="O82" i="8"/>
  <c r="O81" i="8"/>
  <c r="O80" i="8"/>
  <c r="O79" i="8"/>
  <c r="O78" i="8"/>
  <c r="O77" i="8"/>
  <c r="O76" i="8"/>
  <c r="O75" i="8"/>
  <c r="O74" i="8"/>
  <c r="O73" i="8"/>
  <c r="O72" i="8"/>
  <c r="O71" i="8"/>
  <c r="O70" i="8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Q98" i="7"/>
  <c r="P98" i="7"/>
  <c r="O98" i="7"/>
  <c r="Q97" i="7"/>
  <c r="P97" i="7"/>
  <c r="O97" i="7"/>
  <c r="Q96" i="7"/>
  <c r="P96" i="7"/>
  <c r="O96" i="7"/>
  <c r="Q95" i="7"/>
  <c r="P95" i="7"/>
  <c r="O95" i="7"/>
  <c r="Q94" i="7"/>
  <c r="P94" i="7"/>
  <c r="O94" i="7"/>
  <c r="Q93" i="7"/>
  <c r="P93" i="7"/>
  <c r="O93" i="7"/>
  <c r="Q92" i="7"/>
  <c r="P92" i="7"/>
  <c r="O92" i="7"/>
  <c r="Q91" i="7"/>
  <c r="P91" i="7"/>
  <c r="O91" i="7"/>
  <c r="Q90" i="7"/>
  <c r="P90" i="7"/>
  <c r="O90" i="7"/>
  <c r="Q89" i="7"/>
  <c r="P89" i="7"/>
  <c r="O89" i="7"/>
  <c r="Q88" i="7"/>
  <c r="P88" i="7"/>
  <c r="O88" i="7"/>
  <c r="Q87" i="7"/>
  <c r="P87" i="7"/>
  <c r="O87" i="7"/>
  <c r="Q86" i="7"/>
  <c r="P86" i="7"/>
  <c r="O86" i="7"/>
  <c r="Q85" i="7"/>
  <c r="P85" i="7"/>
  <c r="O85" i="7"/>
  <c r="Q84" i="7"/>
  <c r="P84" i="7"/>
  <c r="O84" i="7"/>
  <c r="Q83" i="7"/>
  <c r="P83" i="7"/>
  <c r="O83" i="7"/>
  <c r="Q82" i="7"/>
  <c r="P82" i="7"/>
  <c r="O82" i="7"/>
  <c r="Q81" i="7"/>
  <c r="P81" i="7"/>
  <c r="O81" i="7"/>
  <c r="Q80" i="7"/>
  <c r="P80" i="7"/>
  <c r="O80" i="7"/>
  <c r="Q79" i="7"/>
  <c r="P79" i="7"/>
  <c r="O79" i="7"/>
  <c r="Q78" i="7"/>
  <c r="P78" i="7"/>
  <c r="O78" i="7"/>
  <c r="Q77" i="7"/>
  <c r="P77" i="7"/>
  <c r="O77" i="7"/>
  <c r="Q76" i="7"/>
  <c r="P76" i="7"/>
  <c r="O76" i="7"/>
  <c r="Q75" i="7"/>
  <c r="P75" i="7"/>
  <c r="O75" i="7"/>
  <c r="Q74" i="7"/>
  <c r="P74" i="7"/>
  <c r="O74" i="7"/>
  <c r="Q73" i="7"/>
  <c r="P73" i="7"/>
  <c r="O73" i="7"/>
  <c r="Q72" i="7"/>
  <c r="P72" i="7"/>
  <c r="O72" i="7"/>
  <c r="Q71" i="7"/>
  <c r="P71" i="7"/>
  <c r="O71" i="7"/>
  <c r="Q70" i="7"/>
  <c r="P70" i="7"/>
  <c r="O70" i="7"/>
  <c r="Q69" i="7"/>
  <c r="P69" i="7"/>
  <c r="O69" i="7"/>
  <c r="Q68" i="7"/>
  <c r="P68" i="7"/>
  <c r="O68" i="7"/>
  <c r="Q67" i="7"/>
  <c r="P67" i="7"/>
  <c r="O67" i="7"/>
  <c r="Q66" i="7"/>
  <c r="P66" i="7"/>
  <c r="O66" i="7"/>
  <c r="Q65" i="7"/>
  <c r="P65" i="7"/>
  <c r="O65" i="7"/>
  <c r="Q64" i="7"/>
  <c r="P64" i="7"/>
  <c r="O64" i="7"/>
  <c r="Q63" i="7"/>
  <c r="P63" i="7"/>
  <c r="O63" i="7"/>
  <c r="Q62" i="7"/>
  <c r="P62" i="7"/>
  <c r="O62" i="7"/>
  <c r="Q61" i="7"/>
  <c r="P61" i="7"/>
  <c r="O61" i="7"/>
  <c r="Q60" i="7"/>
  <c r="P60" i="7"/>
  <c r="O60" i="7"/>
  <c r="Q59" i="7"/>
  <c r="P59" i="7"/>
  <c r="O59" i="7"/>
  <c r="Q58" i="7"/>
  <c r="P58" i="7"/>
  <c r="O58" i="7"/>
  <c r="Q57" i="7"/>
  <c r="P57" i="7"/>
  <c r="O57" i="7"/>
  <c r="Q56" i="7"/>
  <c r="P56" i="7"/>
  <c r="O56" i="7"/>
  <c r="Q55" i="7"/>
  <c r="P55" i="7"/>
  <c r="O55" i="7"/>
  <c r="Q54" i="7"/>
  <c r="P54" i="7"/>
  <c r="O54" i="7"/>
  <c r="Q53" i="7"/>
  <c r="P53" i="7"/>
  <c r="O53" i="7"/>
  <c r="Q52" i="7"/>
  <c r="P52" i="7"/>
  <c r="O52" i="7"/>
  <c r="Q51" i="7"/>
  <c r="P51" i="7"/>
  <c r="O51" i="7"/>
  <c r="Q50" i="7"/>
  <c r="P50" i="7"/>
  <c r="O50" i="7"/>
  <c r="Q49" i="7"/>
  <c r="P49" i="7"/>
  <c r="O49" i="7"/>
  <c r="Q48" i="7"/>
  <c r="P48" i="7"/>
  <c r="O48" i="7"/>
  <c r="Q47" i="7"/>
  <c r="P47" i="7"/>
  <c r="O47" i="7"/>
  <c r="Q46" i="7"/>
  <c r="P46" i="7"/>
  <c r="O46" i="7"/>
  <c r="Q45" i="7"/>
  <c r="P45" i="7"/>
  <c r="O45" i="7"/>
  <c r="Q44" i="7"/>
  <c r="P44" i="7"/>
  <c r="O44" i="7"/>
  <c r="Q43" i="7"/>
  <c r="P43" i="7"/>
  <c r="O43" i="7"/>
  <c r="Q42" i="7"/>
  <c r="P42" i="7"/>
  <c r="O42" i="7"/>
  <c r="Q41" i="7"/>
  <c r="P41" i="7"/>
  <c r="O41" i="7"/>
  <c r="Q40" i="7"/>
  <c r="P40" i="7"/>
  <c r="O40" i="7"/>
  <c r="Q39" i="7"/>
  <c r="P39" i="7"/>
  <c r="O39" i="7"/>
  <c r="Q38" i="7"/>
  <c r="P38" i="7"/>
  <c r="O38" i="7"/>
  <c r="Q37" i="7"/>
  <c r="P37" i="7"/>
  <c r="O37" i="7"/>
  <c r="Q36" i="7"/>
  <c r="P36" i="7"/>
  <c r="O36" i="7"/>
  <c r="Q35" i="7"/>
  <c r="P35" i="7"/>
  <c r="O35" i="7"/>
  <c r="Q34" i="7"/>
  <c r="P34" i="7"/>
  <c r="O34" i="7"/>
  <c r="Q33" i="7"/>
  <c r="P33" i="7"/>
  <c r="O33" i="7"/>
  <c r="Q32" i="7"/>
  <c r="P32" i="7"/>
  <c r="O32" i="7"/>
  <c r="Q31" i="7"/>
  <c r="P31" i="7"/>
  <c r="O31" i="7"/>
  <c r="Q30" i="7"/>
  <c r="P30" i="7"/>
  <c r="O30" i="7"/>
  <c r="Q29" i="7"/>
  <c r="P29" i="7"/>
  <c r="O29" i="7"/>
  <c r="Q28" i="7"/>
  <c r="P28" i="7"/>
  <c r="O28" i="7"/>
  <c r="Q27" i="7"/>
  <c r="P27" i="7"/>
  <c r="O27" i="7"/>
  <c r="Q26" i="7"/>
  <c r="P26" i="7"/>
  <c r="O26" i="7"/>
  <c r="Q25" i="7"/>
  <c r="P25" i="7"/>
  <c r="O25" i="7"/>
  <c r="Q24" i="7"/>
  <c r="P24" i="7"/>
  <c r="O24" i="7"/>
  <c r="Q23" i="7"/>
  <c r="P23" i="7"/>
  <c r="O23" i="7"/>
  <c r="Q22" i="7"/>
  <c r="P22" i="7"/>
  <c r="O22" i="7"/>
  <c r="Q21" i="7"/>
  <c r="P21" i="7"/>
  <c r="O21" i="7"/>
  <c r="Q20" i="7"/>
  <c r="P20" i="7"/>
  <c r="O20" i="7"/>
  <c r="Q19" i="7"/>
  <c r="P19" i="7"/>
  <c r="O19" i="7"/>
  <c r="Q18" i="7"/>
  <c r="P18" i="7"/>
  <c r="O18" i="7"/>
  <c r="Q17" i="7"/>
  <c r="P17" i="7"/>
  <c r="O17" i="7"/>
  <c r="Q16" i="7"/>
  <c r="P16" i="7"/>
  <c r="O16" i="7"/>
  <c r="Q15" i="7"/>
  <c r="P15" i="7"/>
  <c r="O15" i="7"/>
  <c r="Q14" i="7"/>
  <c r="P14" i="7"/>
  <c r="O14" i="7"/>
  <c r="Q13" i="7"/>
  <c r="P13" i="7"/>
  <c r="O13" i="7"/>
  <c r="Q12" i="7"/>
  <c r="P12" i="7"/>
  <c r="O12" i="7"/>
  <c r="Q11" i="7"/>
  <c r="P11" i="7"/>
  <c r="O11" i="7"/>
  <c r="Q10" i="7"/>
  <c r="P10" i="7"/>
  <c r="O10" i="7"/>
  <c r="Q9" i="7"/>
  <c r="P9" i="7"/>
  <c r="O9" i="7"/>
  <c r="Q8" i="7"/>
  <c r="P8" i="7"/>
  <c r="O8" i="7"/>
  <c r="Q7" i="7"/>
  <c r="P7" i="7"/>
  <c r="O7" i="7"/>
  <c r="Q6" i="7"/>
  <c r="P6" i="7"/>
  <c r="O6" i="7"/>
  <c r="Q5" i="7"/>
  <c r="P5" i="7"/>
  <c r="O5" i="7"/>
  <c r="Q4" i="7"/>
  <c r="P4" i="7"/>
  <c r="O4" i="7"/>
  <c r="O93" i="3"/>
  <c r="N93" i="3"/>
  <c r="M93" i="3"/>
  <c r="L93" i="3"/>
  <c r="O92" i="3"/>
  <c r="N92" i="3"/>
  <c r="M92" i="3"/>
  <c r="L92" i="3"/>
  <c r="O91" i="3"/>
  <c r="N91" i="3"/>
  <c r="M91" i="3"/>
  <c r="L91" i="3"/>
  <c r="O90" i="3"/>
  <c r="N90" i="3"/>
  <c r="M90" i="3"/>
  <c r="L90" i="3"/>
  <c r="O89" i="3"/>
  <c r="N89" i="3"/>
  <c r="M89" i="3"/>
  <c r="L89" i="3"/>
  <c r="O88" i="3"/>
  <c r="N88" i="3"/>
  <c r="M88" i="3"/>
  <c r="L88" i="3"/>
  <c r="O87" i="3"/>
  <c r="N87" i="3"/>
  <c r="M87" i="3"/>
  <c r="L87" i="3"/>
  <c r="O86" i="3"/>
  <c r="N86" i="3"/>
  <c r="M86" i="3"/>
  <c r="L86" i="3"/>
  <c r="O85" i="3"/>
  <c r="N85" i="3"/>
  <c r="M85" i="3"/>
  <c r="L85" i="3"/>
  <c r="O84" i="3"/>
  <c r="N84" i="3"/>
  <c r="M84" i="3"/>
  <c r="L84" i="3"/>
  <c r="O83" i="3"/>
  <c r="N83" i="3"/>
  <c r="M83" i="3"/>
  <c r="L83" i="3"/>
  <c r="O82" i="3"/>
  <c r="N82" i="3"/>
  <c r="M82" i="3"/>
  <c r="L82" i="3"/>
  <c r="O81" i="3"/>
  <c r="N81" i="3"/>
  <c r="M81" i="3"/>
  <c r="L81" i="3"/>
  <c r="O80" i="3"/>
  <c r="N80" i="3"/>
  <c r="M80" i="3"/>
  <c r="L80" i="3"/>
  <c r="O79" i="3"/>
  <c r="N79" i="3"/>
  <c r="M79" i="3"/>
  <c r="L79" i="3"/>
  <c r="O78" i="3"/>
  <c r="N78" i="3"/>
  <c r="M78" i="3"/>
  <c r="L78" i="3"/>
  <c r="O77" i="3"/>
  <c r="N77" i="3"/>
  <c r="M77" i="3"/>
  <c r="L77" i="3"/>
  <c r="O76" i="3"/>
  <c r="N76" i="3"/>
  <c r="M76" i="3"/>
  <c r="L76" i="3"/>
  <c r="O75" i="3"/>
  <c r="N75" i="3"/>
  <c r="M75" i="3"/>
  <c r="L75" i="3"/>
  <c r="O74" i="3"/>
  <c r="N74" i="3"/>
  <c r="M74" i="3"/>
  <c r="L74" i="3"/>
  <c r="O73" i="3"/>
  <c r="N73" i="3"/>
  <c r="M73" i="3"/>
  <c r="L73" i="3"/>
  <c r="O72" i="3"/>
  <c r="N72" i="3"/>
  <c r="M72" i="3"/>
  <c r="L72" i="3"/>
  <c r="O71" i="3"/>
  <c r="N71" i="3"/>
  <c r="M71" i="3"/>
  <c r="L71" i="3"/>
  <c r="O70" i="3"/>
  <c r="N70" i="3"/>
  <c r="M70" i="3"/>
  <c r="L70" i="3"/>
  <c r="O69" i="3"/>
  <c r="N69" i="3"/>
  <c r="M69" i="3"/>
  <c r="L69" i="3"/>
  <c r="O68" i="3"/>
  <c r="N68" i="3"/>
  <c r="M68" i="3"/>
  <c r="L68" i="3"/>
  <c r="O67" i="3"/>
  <c r="N67" i="3"/>
  <c r="M67" i="3"/>
  <c r="L67" i="3"/>
  <c r="O66" i="3"/>
  <c r="N66" i="3"/>
  <c r="M66" i="3"/>
  <c r="L66" i="3"/>
  <c r="O65" i="3"/>
  <c r="N65" i="3"/>
  <c r="M65" i="3"/>
  <c r="L65" i="3"/>
  <c r="O64" i="3"/>
  <c r="N64" i="3"/>
  <c r="M64" i="3"/>
  <c r="L64" i="3"/>
  <c r="O63" i="3"/>
  <c r="N63" i="3"/>
  <c r="M63" i="3"/>
  <c r="L63" i="3"/>
  <c r="O62" i="3"/>
  <c r="N62" i="3"/>
  <c r="M62" i="3"/>
  <c r="L62" i="3"/>
  <c r="O61" i="3"/>
  <c r="N61" i="3"/>
  <c r="M61" i="3"/>
  <c r="L61" i="3"/>
  <c r="O60" i="3"/>
  <c r="N60" i="3"/>
  <c r="M60" i="3"/>
  <c r="L60" i="3"/>
  <c r="O59" i="3"/>
  <c r="N59" i="3"/>
  <c r="M59" i="3"/>
  <c r="L59" i="3"/>
  <c r="O58" i="3"/>
  <c r="N58" i="3"/>
  <c r="M58" i="3"/>
  <c r="L58" i="3"/>
  <c r="O57" i="3"/>
  <c r="N57" i="3"/>
  <c r="M57" i="3"/>
  <c r="L57" i="3"/>
  <c r="O56" i="3"/>
  <c r="N56" i="3"/>
  <c r="M56" i="3"/>
  <c r="L56" i="3"/>
  <c r="O55" i="3"/>
  <c r="N55" i="3"/>
  <c r="M55" i="3"/>
  <c r="L55" i="3"/>
  <c r="O54" i="3"/>
  <c r="N54" i="3"/>
  <c r="M54" i="3"/>
  <c r="L54" i="3"/>
  <c r="O53" i="3"/>
  <c r="N53" i="3"/>
  <c r="M53" i="3"/>
  <c r="L53" i="3"/>
  <c r="O52" i="3"/>
  <c r="N52" i="3"/>
  <c r="M52" i="3"/>
  <c r="L52" i="3"/>
  <c r="O51" i="3"/>
  <c r="N51" i="3"/>
  <c r="M51" i="3"/>
  <c r="L51" i="3"/>
  <c r="O50" i="3"/>
  <c r="N50" i="3"/>
  <c r="M50" i="3"/>
  <c r="L50" i="3"/>
  <c r="O49" i="3"/>
  <c r="N49" i="3"/>
  <c r="M49" i="3"/>
  <c r="L49" i="3"/>
  <c r="O48" i="3"/>
  <c r="N48" i="3"/>
  <c r="M48" i="3"/>
  <c r="L48" i="3"/>
  <c r="O47" i="3"/>
  <c r="N47" i="3"/>
  <c r="M47" i="3"/>
  <c r="L47" i="3"/>
  <c r="O46" i="3"/>
  <c r="N46" i="3"/>
  <c r="M46" i="3"/>
  <c r="L46" i="3"/>
  <c r="O45" i="3"/>
  <c r="N45" i="3"/>
  <c r="M45" i="3"/>
  <c r="L45" i="3"/>
  <c r="O44" i="3"/>
  <c r="N44" i="3"/>
  <c r="M44" i="3"/>
  <c r="L44" i="3"/>
  <c r="O43" i="3"/>
  <c r="N43" i="3"/>
  <c r="M43" i="3"/>
  <c r="L43" i="3"/>
  <c r="O42" i="3"/>
  <c r="N42" i="3"/>
  <c r="M42" i="3"/>
  <c r="L42" i="3"/>
  <c r="O41" i="3"/>
  <c r="N41" i="3"/>
  <c r="M41" i="3"/>
  <c r="L41" i="3"/>
  <c r="O40" i="3"/>
  <c r="N40" i="3"/>
  <c r="M40" i="3"/>
  <c r="L40" i="3"/>
  <c r="O39" i="3"/>
  <c r="N39" i="3"/>
  <c r="M39" i="3"/>
  <c r="L39" i="3"/>
  <c r="O38" i="3"/>
  <c r="N38" i="3"/>
  <c r="M38" i="3"/>
  <c r="L38" i="3"/>
  <c r="O37" i="3"/>
  <c r="N37" i="3"/>
  <c r="M37" i="3"/>
  <c r="L37" i="3"/>
  <c r="O36" i="3"/>
  <c r="N36" i="3"/>
  <c r="M36" i="3"/>
  <c r="L36" i="3"/>
  <c r="O35" i="3"/>
  <c r="N35" i="3"/>
  <c r="M35" i="3"/>
  <c r="L35" i="3"/>
  <c r="O34" i="3"/>
  <c r="N34" i="3"/>
  <c r="M34" i="3"/>
  <c r="L34" i="3"/>
  <c r="O33" i="3"/>
  <c r="N33" i="3"/>
  <c r="M33" i="3"/>
  <c r="L33" i="3"/>
  <c r="O32" i="3"/>
  <c r="N32" i="3"/>
  <c r="M32" i="3"/>
  <c r="L32" i="3"/>
  <c r="O31" i="3"/>
  <c r="N31" i="3"/>
  <c r="M31" i="3"/>
  <c r="L31" i="3"/>
  <c r="O30" i="3"/>
  <c r="N30" i="3"/>
  <c r="M30" i="3"/>
  <c r="L30" i="3"/>
  <c r="O29" i="3"/>
  <c r="N29" i="3"/>
  <c r="M29" i="3"/>
  <c r="L29" i="3"/>
  <c r="O28" i="3"/>
  <c r="N28" i="3"/>
  <c r="M28" i="3"/>
  <c r="L28" i="3"/>
  <c r="O27" i="3"/>
  <c r="N27" i="3"/>
  <c r="M27" i="3"/>
  <c r="L27" i="3"/>
  <c r="O26" i="3"/>
  <c r="N26" i="3"/>
  <c r="M26" i="3"/>
  <c r="L26" i="3"/>
  <c r="O25" i="3"/>
  <c r="N25" i="3"/>
  <c r="M25" i="3"/>
  <c r="L25" i="3"/>
  <c r="O24" i="3"/>
  <c r="N24" i="3"/>
  <c r="M24" i="3"/>
  <c r="L24" i="3"/>
  <c r="O23" i="3"/>
  <c r="N23" i="3"/>
  <c r="M23" i="3"/>
  <c r="L23" i="3"/>
  <c r="O22" i="3"/>
  <c r="N22" i="3"/>
  <c r="M22" i="3"/>
  <c r="L22" i="3"/>
  <c r="O21" i="3"/>
  <c r="N21" i="3"/>
  <c r="M21" i="3"/>
  <c r="L21" i="3"/>
  <c r="O20" i="3"/>
  <c r="N20" i="3"/>
  <c r="M20" i="3"/>
  <c r="L20" i="3"/>
  <c r="O19" i="3"/>
  <c r="N19" i="3"/>
  <c r="M19" i="3"/>
  <c r="L19" i="3"/>
  <c r="O18" i="3"/>
  <c r="N18" i="3"/>
  <c r="M18" i="3"/>
  <c r="L18" i="3"/>
  <c r="O17" i="3"/>
  <c r="N17" i="3"/>
  <c r="M17" i="3"/>
  <c r="L17" i="3"/>
  <c r="O16" i="3"/>
  <c r="N16" i="3"/>
  <c r="M16" i="3"/>
  <c r="L16" i="3"/>
  <c r="O15" i="3"/>
  <c r="N15" i="3"/>
  <c r="M15" i="3"/>
  <c r="L15" i="3"/>
  <c r="O14" i="3"/>
  <c r="N14" i="3"/>
  <c r="M14" i="3"/>
  <c r="L14" i="3"/>
  <c r="O13" i="3"/>
  <c r="N13" i="3"/>
  <c r="M13" i="3"/>
  <c r="L13" i="3"/>
  <c r="O12" i="3"/>
  <c r="N12" i="3"/>
  <c r="M12" i="3"/>
  <c r="L12" i="3"/>
  <c r="O11" i="3"/>
  <c r="N11" i="3"/>
  <c r="M11" i="3"/>
  <c r="L11" i="3"/>
  <c r="O10" i="3"/>
  <c r="N10" i="3"/>
  <c r="M10" i="3"/>
  <c r="L10" i="3"/>
  <c r="O9" i="3"/>
  <c r="N9" i="3"/>
  <c r="M9" i="3"/>
  <c r="L9" i="3"/>
  <c r="O8" i="3"/>
  <c r="N8" i="3"/>
  <c r="M8" i="3"/>
  <c r="L8" i="3"/>
  <c r="O7" i="3"/>
  <c r="N7" i="3"/>
  <c r="M7" i="3"/>
  <c r="L7" i="3"/>
  <c r="O6" i="3"/>
  <c r="N6" i="3"/>
  <c r="M6" i="3"/>
  <c r="L6" i="3"/>
  <c r="O5" i="3"/>
  <c r="N5" i="3"/>
  <c r="M5" i="3"/>
  <c r="L5" i="3"/>
  <c r="O4" i="3"/>
  <c r="N4" i="3"/>
  <c r="M4" i="3"/>
  <c r="L4" i="3"/>
  <c r="O3" i="3"/>
  <c r="N3" i="3"/>
  <c r="M3" i="3"/>
  <c r="L3" i="3"/>
  <c r="O2" i="3"/>
  <c r="N2" i="3"/>
  <c r="M2" i="3"/>
  <c r="L2" i="3"/>
</calcChain>
</file>

<file path=xl/sharedStrings.xml><?xml version="1.0" encoding="utf-8"?>
<sst xmlns="http://schemas.openxmlformats.org/spreadsheetml/2006/main" count="790" uniqueCount="290">
  <si>
    <t>Date</t>
  </si>
  <si>
    <t>Time</t>
  </si>
  <si>
    <t>U1_rms_AVG</t>
  </si>
  <si>
    <t>U2_rms_AVG</t>
  </si>
  <si>
    <t>U3_rms_AVG</t>
  </si>
  <si>
    <t>I1_rms_AVG</t>
  </si>
  <si>
    <t>I2_rms_AVG</t>
  </si>
  <si>
    <t>I3_rms_AVG</t>
  </si>
  <si>
    <t>PF1_AVG</t>
  </si>
  <si>
    <t>PF2_AVG</t>
  </si>
  <si>
    <t>PF3_AVG</t>
  </si>
  <si>
    <t>P1_AVG (W)</t>
  </si>
  <si>
    <t>P2_AVG (W)</t>
  </si>
  <si>
    <t>P3_AVG (W)</t>
  </si>
  <si>
    <t>P_sum_AVG (W)</t>
  </si>
  <si>
    <t>AUDITORIUM — 96-Step Load Profile (15-Minute Intervals)</t>
  </si>
  <si>
    <t>University of Ruhuna Faculty of Engineering — Data Logger + Pattern Estimation</t>
  </si>
  <si>
    <t>Peak Load: 40.940 kW    |    Avg Power Factor: 0.9399    |    kvar at Peak: 16.462 kvar    |    CT Fix: PF3 row 0 reversed → corrected</t>
  </si>
  <si>
    <t>Step</t>
  </si>
  <si>
    <t>Load (kW)</t>
  </si>
  <si>
    <t>Profile (pu)</t>
  </si>
  <si>
    <t>kvar</t>
  </si>
  <si>
    <t>Source</t>
  </si>
  <si>
    <t>Notes</t>
  </si>
  <si>
    <t>00:00</t>
  </si>
  <si>
    <t>ZERO (no load)</t>
  </si>
  <si>
    <t>Midnight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</si>
  <si>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</si>
  <si>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</si>
  <si>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</si>
  <si>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</si>
  <si>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</si>
  <si>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</si>
  <si>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</si>
  <si>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</si>
  <si>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</si>
  <si>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</si>
  <si>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</si>
  <si>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</si>
  <si>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</si>
  <si>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</si>
  <si>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</si>
  <si>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</si>
  <si>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</si>
  <si>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</si>
  <si>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</si>
  <si>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</si>
  <si>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</si>
  <si>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</si>
  <si>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</si>
  <si>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</si>
  <si>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</si>
  <si>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</si>
  <si>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</si>
  <si>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</si>
  <si>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</si>
  <si>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</si>
  <si>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</si>
  <si>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</si>
  <si>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</si>
  <si>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Before lectures (08:15)</t>
  </si>
  <si>
    <t>08:30</t>
  </si>
  <si>
    <t>ESTIMATED</t>
  </si>
  <si>
    <t>Lectures start 08:30 — lights + ACs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</si>
  <si>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</si>
  <si>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</si>
  <si>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</si>
  <si>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</si>
  <si>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</si>
  <si>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</si>
  <si>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</si>
  <si>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</si>
  <si>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</si>
  <si>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</si>
  <si>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Morning peak (11:00)</t>
  </si>
  <si>
    <t>11:15</t>
  </si>
  <si>
    <t>11:30</t>
  </si>
  <si>
    <t>11:45</t>
  </si>
  <si>
    <t>12:00</t>
  </si>
  <si>
    <t>Lunch break — some load off</t>
  </si>
  <si>
    <t>12:15</t>
  </si>
  <si>
    <t>Lunch break — minimum</t>
  </si>
  <si>
    <t>12:30</t>
  </si>
  <si>
    <t>MEASURED</t>
  </si>
  <si>
    <t>12:45</t>
  </si>
  <si>
    <t>Afternoon peak (12:45) — MEASURED</t>
  </si>
  <si>
    <t>13:00</t>
  </si>
  <si>
    <t>13:15</t>
  </si>
  <si>
    <t>13:30</t>
  </si>
  <si>
    <t>13:45</t>
  </si>
  <si>
    <t>14:00</t>
  </si>
  <si>
    <t>14:15</t>
  </si>
  <si>
    <t>14:30</t>
  </si>
  <si>
    <t>Declining after 14:30</t>
  </si>
  <si>
    <t>14:45</t>
  </si>
  <si>
    <t>15:00</t>
  </si>
  <si>
    <t>15:15</t>
  </si>
  <si>
    <t>15:30</t>
  </si>
  <si>
    <t>15:45</t>
  </si>
  <si>
    <t>16:00</t>
  </si>
  <si>
    <t>16:15</t>
  </si>
  <si>
    <t>Last measured step (16:15)</t>
  </si>
  <si>
    <t>16:30</t>
  </si>
  <si>
    <t>Lectures end — zero load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</si>
  <si>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</si>
  <si>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</si>
  <si>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</si>
  <si>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</si>
  <si>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</si>
  <si>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</si>
  <si>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</si>
  <si>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</si>
  <si>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</si>
  <si>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</si>
  <si>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</si>
  <si>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</si>
  <si>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</si>
  <si>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</si>
  <si>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</si>
  <si>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</si>
  <si>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</si>
  <si>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</si>
  <si>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</si>
  <si>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</si>
  <si>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</si>
  <si>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</si>
  <si>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</si>
  <si>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</si>
  <si>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</si>
  <si>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</si>
  <si>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</si>
  <si>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</si>
  <si>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</si>
  <si>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P1_AVG (W)2</t>
  </si>
  <si>
    <t>P2_AVG (W)2</t>
  </si>
  <si>
    <t>P3_AVG (W)2</t>
  </si>
  <si>
    <t>P_sum_AVG (W)2</t>
  </si>
  <si>
    <t>P1_AVG</t>
  </si>
  <si>
    <t>P2_AVG</t>
  </si>
  <si>
    <t>P3_AVG</t>
  </si>
  <si>
    <t>P_sum_AVG</t>
  </si>
  <si>
    <t>zero load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</si>
  <si>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</si>
  <si>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</si>
  <si>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</si>
  <si>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</si>
  <si>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</si>
  <si>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</si>
  <si>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</si>
  <si>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</si>
  <si>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</si>
  <si>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</si>
  <si>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</si>
  <si>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</si>
  <si>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</si>
  <si>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</si>
  <si>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</si>
  <si>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Column162</t>
  </si>
  <si>
    <t>Column17</t>
  </si>
  <si>
    <t>SIP End Dte nd time</t>
  </si>
  <si>
    <t>V</t>
  </si>
  <si>
    <t>A</t>
  </si>
  <si>
    <t>kWh(I) Tot</t>
  </si>
  <si>
    <t>kVArh(I)</t>
  </si>
  <si>
    <t>kVAh</t>
  </si>
  <si>
    <t>DtSttus</t>
  </si>
  <si>
    <t>Units</t>
  </si>
  <si>
    <t>KW</t>
  </si>
  <si>
    <t>KVAr</t>
  </si>
  <si>
    <t>KVA</t>
  </si>
  <si>
    <t>ADMIN BUILDING — Combined Load Profile (DB1 + DB2)</t>
  </si>
  <si>
    <t>University of Ruhuna Faculty of Engineering — 2 Sub-Distribution Boards Combined</t>
  </si>
  <si>
    <t>Peak Load: 70.690 kW  |  Combined PF: 0.8699  |  kvar at Peak: 40.076 kvar  |  DB1 CT Fix: ALL phases PF reversed (08:15-16:30) + P2_AVG2=P3  |  DB2: Clean</t>
  </si>
  <si>
    <t>DB1 (kW)</t>
  </si>
  <si>
    <t>DB2 (kW)</t>
  </si>
  <si>
    <t>Combined (kW)</t>
  </si>
  <si>
    <t>~0.00</t>
  </si>
  <si>
    <t>est+DB2</t>
  </si>
  <si>
    <t>DB1+DB2</t>
  </si>
  <si>
    <t>Night base load</t>
  </si>
  <si>
    <t>DB1 morning dip (08:00)</t>
  </si>
  <si>
    <t>Rapid load rise (08:45)</t>
  </si>
  <si>
    <t>PEAK 12:45 — 70.69 kW</t>
  </si>
  <si>
    <t>Afternoon peak zone</t>
  </si>
  <si>
    <t>Load drops sharply 17:00</t>
  </si>
  <si>
    <t>~2.80</t>
  </si>
  <si>
    <t>pf</t>
  </si>
  <si>
    <t xml:space="preserve">all loads =0 </t>
  </si>
  <si>
    <t>7/16/2026</t>
  </si>
  <si>
    <t>7/17/2026</t>
  </si>
  <si>
    <t xml:space="preserve">  </t>
  </si>
  <si>
    <t>P2_AVG(W)</t>
  </si>
  <si>
    <t>P3_AVG(W)</t>
  </si>
  <si>
    <t>CORRECTED DATA — Phase 1 CT polarity reversed. P1_AVG, PF1_AVG corrected by abs(). P_sum_AVG recalculated. Yellow = corrected columns. All other columns unchanged.</t>
  </si>
  <si>
    <t>14:45:00</t>
  </si>
  <si>
    <t>15:00:00</t>
  </si>
  <si>
    <t>15:15:00</t>
  </si>
  <si>
    <t>15:30:00</t>
  </si>
  <si>
    <t>15:45:00</t>
  </si>
  <si>
    <t>16:00:00</t>
  </si>
  <si>
    <t>16:15:00</t>
  </si>
  <si>
    <t>16:30:00</t>
  </si>
  <si>
    <t>16:45:00</t>
  </si>
  <si>
    <t>17:00:00</t>
  </si>
  <si>
    <t>17:15:00</t>
  </si>
  <si>
    <t>17:30:00</t>
  </si>
  <si>
    <t>17:45:00</t>
  </si>
  <si>
    <t>18:00:00</t>
  </si>
  <si>
    <t>18:15:00</t>
  </si>
  <si>
    <t>18:30:00</t>
  </si>
  <si>
    <t>18:45:00</t>
  </si>
  <si>
    <t>19:00:00</t>
  </si>
  <si>
    <t>19:15:00</t>
  </si>
  <si>
    <t>19:30:00</t>
  </si>
  <si>
    <t>19:45:00</t>
  </si>
  <si>
    <t>20:00:00</t>
  </si>
  <si>
    <t>20:15:00</t>
  </si>
  <si>
    <t>20:30:00</t>
  </si>
  <si>
    <t>20:45:00</t>
  </si>
  <si>
    <t>21:00:00</t>
  </si>
  <si>
    <t>21:15:00</t>
  </si>
  <si>
    <t>21:30:00</t>
  </si>
  <si>
    <t>21:45:00</t>
  </si>
  <si>
    <t>22:00:00</t>
  </si>
  <si>
    <t>22:15:00</t>
  </si>
  <si>
    <t>22:30:00</t>
  </si>
  <si>
    <t>22:45:00</t>
  </si>
  <si>
    <t>23:00:00</t>
  </si>
  <si>
    <t>23:15:00</t>
  </si>
  <si>
    <t>23:30:00</t>
  </si>
  <si>
    <t>23:45:00</t>
  </si>
  <si>
    <t>00:00:00</t>
  </si>
  <si>
    <t>00:15:00</t>
  </si>
  <si>
    <t>00:30:00</t>
  </si>
  <si>
    <t>00:45:00</t>
  </si>
  <si>
    <t>01:00:00</t>
  </si>
  <si>
    <t>01:15:00</t>
  </si>
  <si>
    <t>01:30:00</t>
  </si>
  <si>
    <t>01:45:00</t>
  </si>
  <si>
    <t>02:00:00</t>
  </si>
  <si>
    <t>02:15:00</t>
  </si>
  <si>
    <t>02:30:00</t>
  </si>
  <si>
    <t>02:45:00</t>
  </si>
  <si>
    <t>03:00:00</t>
  </si>
  <si>
    <t>03:15:00</t>
  </si>
  <si>
    <t>03:30:00</t>
  </si>
  <si>
    <t>03:45:00</t>
  </si>
  <si>
    <t>04:00:00</t>
  </si>
  <si>
    <t>04:15:00</t>
  </si>
  <si>
    <t>04:30:00</t>
  </si>
  <si>
    <t>04:45:00</t>
  </si>
  <si>
    <t>05:00:00</t>
  </si>
  <si>
    <t>05:15:00</t>
  </si>
  <si>
    <t>05:30:00</t>
  </si>
  <si>
    <t>05:45:00</t>
  </si>
  <si>
    <t>06:00:00</t>
  </si>
  <si>
    <t>06:15:00</t>
  </si>
  <si>
    <t>06:30:00</t>
  </si>
  <si>
    <t>06:45:00</t>
  </si>
  <si>
    <t>07:00:00</t>
  </si>
  <si>
    <t>07:15:00</t>
  </si>
  <si>
    <t>07:30:00</t>
  </si>
  <si>
    <t>07:45:00</t>
  </si>
  <si>
    <t>08:00:00</t>
  </si>
  <si>
    <t>08:15:00</t>
  </si>
  <si>
    <t>08:30:00</t>
  </si>
  <si>
    <t>08:45:00</t>
  </si>
  <si>
    <t>09:00:00</t>
  </si>
  <si>
    <t>09:15:00</t>
  </si>
  <si>
    <t>09:30:00</t>
  </si>
  <si>
    <t>09:45:00</t>
  </si>
  <si>
    <t>10:00:00</t>
  </si>
  <si>
    <t>10:15:00</t>
  </si>
  <si>
    <t>10:30:00</t>
  </si>
  <si>
    <t>10:45:00</t>
  </si>
  <si>
    <t>11:00:00</t>
  </si>
  <si>
    <t>11:15:00</t>
  </si>
  <si>
    <t>11:30:00</t>
  </si>
  <si>
    <t>11:45:00</t>
  </si>
  <si>
    <t>12:00:00</t>
  </si>
  <si>
    <t>12:15:00</t>
  </si>
  <si>
    <t>12:30:00</t>
  </si>
  <si>
    <t>12:45:00</t>
  </si>
  <si>
    <t>13:00:00</t>
  </si>
  <si>
    <t>13:15:00</t>
  </si>
  <si>
    <t>13:30:00</t>
  </si>
  <si>
    <t>13:45:00</t>
  </si>
  <si>
    <t>14:00:00</t>
  </si>
  <si>
    <t>14:15:00</t>
  </si>
  <si>
    <t>14:30:00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</si>
</sst>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\ hh:mm:ss"/>
  </numFmts>
  <fonts count="4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3"/>
      <color rgb="FFFFFFFF"/>
      <name val="Calibri"/>
      <charset val="1"/>
    </font>
    <font>
      <i/>
      <sz val="10"/>
      <color rgb="FFFFFFFF"/>
      <name val="Calibri"/>
      <charset val="1"/>
    </font>
    <font>
      <i/>
      <sz val="9"/>
      <color rgb="FFFFFFFF"/>
      <name val="Calibri"/>
      <charset val="1"/>
    </font>
    <font>
      <b/>
      <sz val="10"/>
      <color rgb="FFFFFFFF"/>
      <name val="Calibri"/>
      <charset val="1"/>
    </font>
    <font>
      <sz val="9"/>
      <color rgb="FF444444"/>
      <name val="Calibri"/>
      <charset val="1"/>
    </font>
    <font>
      <b/>
      <sz val="10"/>
      <color rgb="FF0D1B2A"/>
      <name val="Calibri"/>
      <charset val="1"/>
    </font>
    <font>
      <sz val="10"/>
      <color rgb="FFAAAAAA"/>
      <name val="Calibri"/>
      <charset val="1"/>
    </font>
    <font>
      <b/>
      <sz val="9"/>
      <color rgb="FF888888"/>
      <name val="Calibri"/>
      <charset val="1"/>
    </font>
    <font>
      <sz val="10"/>
      <color rgb="FF0D1B2A"/>
      <name val="Calibri"/>
      <charset val="1"/>
    </font>
    <font>
      <sz val="10"/>
      <color rgb="FF185FA5"/>
      <name val="Calibri"/>
      <charset val="1"/>
    </font>
    <font>
      <b/>
      <sz val="9"/>
      <color rgb="FFF5A623"/>
      <name val="Calibri"/>
      <charset val="1"/>
    </font>
    <font>
      <b/>
      <sz val="9"/>
      <color rgb="FF1D9E75"/>
      <name val="Calibri"/>
      <charset val="1"/>
    </font>
    <font>
      <b/>
      <sz val="11"/>
      <color rgb="FFFFFFFF"/>
      <name val="Calibri"/>
      <charset val="1"/>
    </font>
    <font>
      <b/>
      <sz val="11"/>
      <color rgb="FF0D7377"/>
      <name val="Calibri"/>
      <charset val="1"/>
    </font>
    <font>
      <i/>
      <sz val="9"/>
      <color rgb="FF555555"/>
      <name val="Calibri"/>
      <charset val="1"/>
    </font>
    <font>
      <sz val="9"/>
      <color rgb="FF0D7377"/>
      <name val="Courier New"/>
      <charset val="1"/>
    </font>
    <font>
      <sz val="8"/>
      <color rgb="FF1D9E75"/>
      <name val="Courier New"/>
      <charset val="1"/>
    </font>
    <font>
      <sz val="8"/>
      <color rgb="FF534AB7"/>
      <name val="Courier New"/>
      <charset val="1"/>
    </font>
    <font>
      <b/>
      <sz val="9"/>
      <color rgb="FFE24B4A"/>
      <name val="Calibri"/>
      <charset val="1"/>
    </font>
    <font>
      <sz val="9"/>
      <color rgb="FFE24B4A"/>
      <name val="Courier New"/>
      <charset val="1"/>
    </font>
    <font>
      <b/>
      <sz val="10"/>
      <color rgb="FF1D9E75"/>
      <name val="Calibri"/>
      <charset val="1"/>
    </font>
    <font>
      <b/>
      <sz val="10"/>
      <color rgb="FFF5A623"/>
      <name val="Calibri"/>
      <charset val="1"/>
    </font>
    <font>
      <b/>
      <sz val="10"/>
      <color rgb="FF888888"/>
      <name val="Calibri"/>
      <charset val="1"/>
    </font>
    <font>
      <b/>
      <sz val="13"/>
      <color rgb="FFFFFFFF"/>
      <name val="Calibri"/>
      <family val="2"/>
    </font>
    <font>
      <i/>
      <sz val="10"/>
      <color rgb="FFFFFFFF"/>
      <name val="Calibri"/>
      <family val="2"/>
    </font>
    <font>
      <i/>
      <sz val="9"/>
      <color rgb="FFFFFFFF"/>
      <name val="Calibri"/>
      <family val="2"/>
    </font>
    <font>
      <b/>
      <sz val="10"/>
      <color rgb="FFFFFFFF"/>
      <name val="Calibri"/>
      <family val="2"/>
    </font>
    <font>
      <sz val="9"/>
      <color rgb="FF333333"/>
      <name val="Calibri"/>
      <family val="2"/>
    </font>
    <font>
      <b/>
      <sz val="10"/>
      <color rgb="FF0D1B2A"/>
      <name val="Calibri"/>
      <family val="2"/>
    </font>
    <font>
      <sz val="10"/>
      <color rgb="FF0D1B2A"/>
      <name val="Calibri"/>
      <family val="2"/>
    </font>
    <font>
      <sz val="10"/>
      <color rgb="FF0D7377"/>
      <name val="Calibri"/>
      <family val="2"/>
    </font>
    <font>
      <b/>
      <sz val="9"/>
      <color rgb="FF1D9E75"/>
      <name val="Calibri"/>
      <family val="2"/>
    </font>
    <font>
      <b/>
      <sz val="9"/>
      <color rgb="FF0D7377"/>
      <name val="Calibri"/>
      <family val="2"/>
    </font>
    <font>
      <b/>
      <sz val="10"/>
      <color rgb="FF0D7377"/>
      <name val="Calibri"/>
      <family val="2"/>
    </font>
    <font>
      <sz val="10"/>
      <color theme="1"/>
      <name val="Arial"/>
      <family val="2"/>
    </font>
    <font>
      <b/>
      <sz val="9"/>
      <color rgb="FFC00000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</fonts>
  <fills count="2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D1B2A"/>
        <bgColor rgb="FF000000"/>
      </patternFill>
    </fill>
    <fill>
      <patternFill patternType="solid">
        <fgColor rgb="FF185FA5"/>
        <bgColor rgb="FF0D7377"/>
      </patternFill>
    </fill>
    <fill>
      <patternFill patternType="solid">
        <fgColor rgb="FF0D7377"/>
        <bgColor rgb="FF008080"/>
      </patternFill>
    </fill>
    <fill>
      <patternFill patternType="solid">
        <fgColor rgb="FFF9FAFB"/>
        <bgColor rgb="FFFFFFFF"/>
      </patternFill>
    </fill>
    <fill>
      <patternFill patternType="solid">
        <fgColor rgb="FFFFFBEB"/>
        <bgColor rgb="FFFFF5F5"/>
      </patternFill>
    </fill>
    <fill>
      <patternFill patternType="solid">
        <fgColor rgb="FFE4F4EE"/>
        <bgColor rgb="FFEFF6FF"/>
      </patternFill>
    </fill>
    <fill>
      <patternFill patternType="solid">
        <fgColor rgb="FFF3F4F6"/>
        <bgColor rgb="FFF5F3FF"/>
      </patternFill>
    </fill>
    <fill>
      <patternFill patternType="solid">
        <fgColor rgb="FFFFFFFF"/>
        <bgColor rgb="FFF9FAFB"/>
      </patternFill>
    </fill>
    <fill>
      <patternFill patternType="solid">
        <fgColor rgb="FFEFF6FF"/>
        <bgColor rgb="FFF3F4F6"/>
      </patternFill>
    </fill>
    <fill>
      <patternFill patternType="solid">
        <fgColor rgb="FF1D9E75"/>
        <bgColor rgb="FF008080"/>
      </patternFill>
    </fill>
    <fill>
      <patternFill patternType="solid">
        <fgColor rgb="FFECFDF5"/>
        <bgColor rgb="FFEFF6FF"/>
      </patternFill>
    </fill>
    <fill>
      <patternFill patternType="solid">
        <fgColor rgb="FF534AB7"/>
        <bgColor rgb="FF555555"/>
      </patternFill>
    </fill>
    <fill>
      <patternFill patternType="solid">
        <fgColor rgb="FFF5F3FF"/>
        <bgColor rgb="FFF3F4F6"/>
      </patternFill>
    </fill>
    <fill>
      <patternFill patternType="solid">
        <fgColor rgb="FFE24B4A"/>
        <bgColor rgb="FF993366"/>
      </patternFill>
    </fill>
    <fill>
      <patternFill patternType="solid">
        <fgColor rgb="FFFEF2F2"/>
        <bgColor rgb="FFFFF5F5"/>
      </patternFill>
    </fill>
    <fill>
      <patternFill patternType="solid">
        <fgColor rgb="FFFFF5F5"/>
        <bgColor rgb="FFFEF2F2"/>
      </patternFill>
    </fill>
    <fill>
      <patternFill patternType="solid">
        <fgColor rgb="FF555555"/>
        <bgColor rgb="FF444444"/>
      </patternFill>
    </fill>
    <fill>
      <patternFill patternType="solid">
        <fgColor theme="8"/>
        <bgColor indexed="64"/>
      </patternFill>
    </fill>
    <fill>
      <patternFill patternType="solid">
        <fgColor rgb="FFFFF8E1"/>
        <bgColor rgb="FFFFF5F5"/>
      </patternFill>
    </fill>
    <fill>
      <patternFill patternType="solid">
        <fgColor theme="0"/>
        <bgColor rgb="FFEFF6FF"/>
      </patternFill>
    </fill>
    <fill>
      <patternFill patternType="solid">
        <fgColor theme="0"/>
        <bgColor indexed="64"/>
      </patternFill>
    </fill>
    <fill>
      <patternFill patternType="solid">
        <fgColor rgb="FFFCE4D6"/>
        <bgColor rgb="FFFFF2CC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</fills>
  <borders count="1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0D1B2A"/>
      </left>
      <right style="medium">
        <color rgb="FF0D1B2A"/>
      </right>
      <top style="medium">
        <color rgb="FF0D1B2A"/>
      </top>
      <bottom style="medium">
        <color rgb="FF0D1B2A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</borders>
  <cellStyleXfs count="2">
    <xf numFmtId="0" fontId="0" fillId="0" borderId="0"/>
    <xf numFmtId="0" fontId="2" fillId="0" borderId="0"/>
  </cellStyleXfs>
  <cellXfs count="114">
    <xf numFmtId="0" fontId="0" fillId="0" borderId="0" xfId="0"/>
    <xf numFmtId="4" fontId="0" fillId="0" borderId="0" xfId="0" applyNumberFormat="1"/>
    <xf numFmtId="14" fontId="0" fillId="0" borderId="0" xfId="0" applyNumberFormat="1"/>
    <xf numFmtId="19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6" fillId="4" borderId="4" xfId="1" applyFont="1" applyFill="1" applyBorder="1" applyAlignment="1">
      <alignment horizontal="center" vertical="center"/>
    </xf>
    <xf numFmtId="0" fontId="7" fillId="7" borderId="5" xfId="1" applyFont="1" applyFill="1" applyBorder="1" applyAlignment="1">
      <alignment horizontal="center" vertical="center"/>
    </xf>
    <xf numFmtId="0" fontId="8" fillId="7" borderId="5" xfId="1" applyFont="1" applyFill="1" applyBorder="1" applyAlignment="1">
      <alignment horizontal="center" vertical="center"/>
    </xf>
    <xf numFmtId="0" fontId="9" fillId="7" borderId="5" xfId="1" applyFont="1" applyFill="1" applyBorder="1" applyAlignment="1">
      <alignment horizontal="center" vertical="center"/>
    </xf>
    <xf numFmtId="0" fontId="10" fillId="7" borderId="5" xfId="1" applyFont="1" applyFill="1" applyBorder="1" applyAlignment="1">
      <alignment horizontal="center" vertical="center"/>
    </xf>
    <xf numFmtId="0" fontId="7" fillId="7" borderId="5" xfId="1" applyFont="1" applyFill="1" applyBorder="1" applyAlignment="1">
      <alignment horizontal="left" vertical="center"/>
    </xf>
    <xf numFmtId="0" fontId="7" fillId="8" borderId="5" xfId="1" applyFont="1" applyFill="1" applyBorder="1" applyAlignment="1">
      <alignment horizontal="center" vertical="center"/>
    </xf>
    <xf numFmtId="0" fontId="8" fillId="8" borderId="5" xfId="1" applyFont="1" applyFill="1" applyBorder="1" applyAlignment="1">
      <alignment horizontal="center" vertical="center"/>
    </xf>
    <xf numFmtId="0" fontId="11" fillId="8" borderId="5" xfId="1" applyFont="1" applyFill="1" applyBorder="1" applyAlignment="1">
      <alignment horizontal="center" vertical="center"/>
    </xf>
    <xf numFmtId="0" fontId="12" fillId="8" borderId="5" xfId="1" applyFont="1" applyFill="1" applyBorder="1" applyAlignment="1">
      <alignment horizontal="center" vertical="center"/>
    </xf>
    <xf numFmtId="0" fontId="13" fillId="8" borderId="5" xfId="1" applyFont="1" applyFill="1" applyBorder="1" applyAlignment="1">
      <alignment horizontal="center" vertical="center"/>
    </xf>
    <xf numFmtId="0" fontId="7" fillId="8" borderId="5" xfId="1" applyFont="1" applyFill="1" applyBorder="1" applyAlignment="1">
      <alignment horizontal="left" vertical="center"/>
    </xf>
    <xf numFmtId="0" fontId="7" fillId="9" borderId="5" xfId="1" applyFont="1" applyFill="1" applyBorder="1" applyAlignment="1">
      <alignment horizontal="center" vertical="center"/>
    </xf>
    <xf numFmtId="0" fontId="8" fillId="9" borderId="5" xfId="1" applyFont="1" applyFill="1" applyBorder="1" applyAlignment="1">
      <alignment horizontal="center" vertical="center"/>
    </xf>
    <xf numFmtId="0" fontId="11" fillId="9" borderId="5" xfId="1" applyFont="1" applyFill="1" applyBorder="1" applyAlignment="1">
      <alignment horizontal="center" vertical="center"/>
    </xf>
    <xf numFmtId="0" fontId="12" fillId="9" borderId="5" xfId="1" applyFont="1" applyFill="1" applyBorder="1" applyAlignment="1">
      <alignment horizontal="center" vertical="center"/>
    </xf>
    <xf numFmtId="0" fontId="14" fillId="9" borderId="5" xfId="1" applyFont="1" applyFill="1" applyBorder="1" applyAlignment="1">
      <alignment horizontal="center" vertical="center"/>
    </xf>
    <xf numFmtId="0" fontId="7" fillId="9" borderId="5" xfId="1" applyFont="1" applyFill="1" applyBorder="1" applyAlignment="1">
      <alignment horizontal="left" vertical="center"/>
    </xf>
    <xf numFmtId="0" fontId="8" fillId="10" borderId="5" xfId="1" applyFont="1" applyFill="1" applyBorder="1" applyAlignment="1">
      <alignment horizontal="left" vertical="center"/>
    </xf>
    <xf numFmtId="0" fontId="16" fillId="11" borderId="5" xfId="1" applyFont="1" applyFill="1" applyBorder="1" applyAlignment="1">
      <alignment horizontal="left" vertical="center"/>
    </xf>
    <xf numFmtId="0" fontId="21" fillId="18" borderId="5" xfId="1" applyFont="1" applyFill="1" applyBorder="1"/>
    <xf numFmtId="4" fontId="1" fillId="2" borderId="2" xfId="0" applyNumberFormat="1" applyFont="1" applyFill="1" applyBorder="1"/>
    <xf numFmtId="14" fontId="0" fillId="3" borderId="1" xfId="0" applyNumberFormat="1" applyFill="1" applyBorder="1"/>
    <xf numFmtId="19" fontId="0" fillId="3" borderId="2" xfId="0" applyNumberFormat="1" applyFill="1" applyBorder="1"/>
    <xf numFmtId="0" fontId="0" fillId="3" borderId="2" xfId="0" applyFill="1" applyBorder="1"/>
    <xf numFmtId="4" fontId="0" fillId="3" borderId="2" xfId="0" applyNumberFormat="1" applyFill="1" applyBorder="1"/>
    <xf numFmtId="14" fontId="0" fillId="0" borderId="1" xfId="0" applyNumberFormat="1" applyBorder="1"/>
    <xf numFmtId="19" fontId="0" fillId="0" borderId="2" xfId="0" applyNumberFormat="1" applyBorder="1"/>
    <xf numFmtId="0" fontId="0" fillId="0" borderId="2" xfId="0" applyBorder="1"/>
    <xf numFmtId="4" fontId="0" fillId="0" borderId="2" xfId="0" applyNumberFormat="1" applyBorder="1"/>
    <xf numFmtId="3" fontId="1" fillId="21" borderId="2" xfId="0" applyNumberFormat="1" applyFont="1" applyFill="1" applyBorder="1"/>
    <xf numFmtId="3" fontId="1" fillId="21" borderId="3" xfId="0" applyNumberFormat="1" applyFont="1" applyFill="1" applyBorder="1"/>
    <xf numFmtId="4" fontId="0" fillId="3" borderId="3" xfId="0" applyNumberFormat="1" applyFill="1" applyBorder="1"/>
    <xf numFmtId="4" fontId="0" fillId="0" borderId="3" xfId="0" applyNumberFormat="1" applyBorder="1"/>
    <xf numFmtId="21" fontId="0" fillId="0" borderId="0" xfId="0" applyNumberFormat="1"/>
    <xf numFmtId="2" fontId="1" fillId="2" borderId="2" xfId="0" applyNumberFormat="1" applyFont="1" applyFill="1" applyBorder="1" applyAlignment="1">
      <alignment horizontal="center"/>
    </xf>
    <xf numFmtId="2" fontId="1" fillId="2" borderId="3" xfId="0" applyNumberFormat="1" applyFon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22" fontId="0" fillId="3" borderId="2" xfId="0" applyNumberFormat="1" applyFill="1" applyBorder="1"/>
    <xf numFmtId="22" fontId="0" fillId="0" borderId="2" xfId="0" applyNumberFormat="1" applyBorder="1"/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8" fontId="0" fillId="0" borderId="2" xfId="0" applyNumberFormat="1" applyBorder="1"/>
    <xf numFmtId="18" fontId="0" fillId="3" borderId="2" xfId="0" applyNumberFormat="1" applyFill="1" applyBorder="1"/>
    <xf numFmtId="0" fontId="29" fillId="4" borderId="4" xfId="1" applyFont="1" applyFill="1" applyBorder="1" applyAlignment="1">
      <alignment horizontal="center" vertical="center"/>
    </xf>
    <xf numFmtId="0" fontId="30" fillId="14" borderId="5" xfId="1" applyFont="1" applyFill="1" applyBorder="1" applyAlignment="1">
      <alignment horizontal="center" vertical="center"/>
    </xf>
    <xf numFmtId="0" fontId="31" fillId="14" borderId="5" xfId="1" applyFont="1" applyFill="1" applyBorder="1" applyAlignment="1">
      <alignment horizontal="center" vertical="center"/>
    </xf>
    <xf numFmtId="0" fontId="32" fillId="14" borderId="5" xfId="1" applyFont="1" applyFill="1" applyBorder="1" applyAlignment="1">
      <alignment horizontal="center" vertical="center"/>
    </xf>
    <xf numFmtId="0" fontId="33" fillId="14" borderId="5" xfId="1" applyFont="1" applyFill="1" applyBorder="1" applyAlignment="1">
      <alignment horizontal="center" vertical="center"/>
    </xf>
    <xf numFmtId="0" fontId="34" fillId="14" borderId="5" xfId="1" applyFont="1" applyFill="1" applyBorder="1" applyAlignment="1">
      <alignment horizontal="center" vertical="center"/>
    </xf>
    <xf numFmtId="0" fontId="30" fillId="14" borderId="5" xfId="1" applyFont="1" applyFill="1" applyBorder="1" applyAlignment="1">
      <alignment horizontal="left" vertical="center"/>
    </xf>
    <xf numFmtId="0" fontId="30" fillId="22" borderId="5" xfId="1" applyFont="1" applyFill="1" applyBorder="1" applyAlignment="1">
      <alignment horizontal="center" vertical="center"/>
    </xf>
    <xf numFmtId="0" fontId="31" fillId="22" borderId="5" xfId="1" applyFont="1" applyFill="1" applyBorder="1" applyAlignment="1">
      <alignment horizontal="center" vertical="center"/>
    </xf>
    <xf numFmtId="0" fontId="32" fillId="22" borderId="5" xfId="1" applyFont="1" applyFill="1" applyBorder="1" applyAlignment="1">
      <alignment horizontal="center" vertical="center"/>
    </xf>
    <xf numFmtId="0" fontId="33" fillId="22" borderId="5" xfId="1" applyFont="1" applyFill="1" applyBorder="1" applyAlignment="1">
      <alignment horizontal="center" vertical="center"/>
    </xf>
    <xf numFmtId="0" fontId="35" fillId="22" borderId="5" xfId="1" applyFont="1" applyFill="1" applyBorder="1" applyAlignment="1">
      <alignment horizontal="center" vertical="center"/>
    </xf>
    <xf numFmtId="0" fontId="30" fillId="22" borderId="5" xfId="1" applyFont="1" applyFill="1" applyBorder="1" applyAlignment="1">
      <alignment horizontal="left" vertical="center"/>
    </xf>
    <xf numFmtId="0" fontId="36" fillId="22" borderId="5" xfId="1" applyFont="1" applyFill="1" applyBorder="1" applyAlignment="1">
      <alignment horizontal="center" vertical="center"/>
    </xf>
    <xf numFmtId="0" fontId="30" fillId="23" borderId="5" xfId="1" applyFont="1" applyFill="1" applyBorder="1" applyAlignment="1">
      <alignment horizontal="center" vertical="center"/>
    </xf>
    <xf numFmtId="0" fontId="31" fillId="23" borderId="5" xfId="1" applyFont="1" applyFill="1" applyBorder="1" applyAlignment="1">
      <alignment horizontal="center" vertical="center"/>
    </xf>
    <xf numFmtId="0" fontId="32" fillId="23" borderId="5" xfId="1" applyFont="1" applyFill="1" applyBorder="1" applyAlignment="1">
      <alignment horizontal="center" vertical="center"/>
    </xf>
    <xf numFmtId="0" fontId="33" fillId="23" borderId="5" xfId="1" applyFont="1" applyFill="1" applyBorder="1" applyAlignment="1">
      <alignment horizontal="center" vertical="center"/>
    </xf>
    <xf numFmtId="0" fontId="34" fillId="23" borderId="5" xfId="1" applyFont="1" applyFill="1" applyBorder="1" applyAlignment="1">
      <alignment horizontal="center" vertical="center"/>
    </xf>
    <xf numFmtId="0" fontId="30" fillId="23" borderId="5" xfId="1" applyFont="1" applyFill="1" applyBorder="1" applyAlignment="1">
      <alignment horizontal="left" vertical="center"/>
    </xf>
    <xf numFmtId="0" fontId="0" fillId="24" borderId="0" xfId="0" applyFill="1"/>
    <xf numFmtId="0" fontId="0" fillId="3" borderId="0" xfId="0" applyFill="1"/>
    <xf numFmtId="2" fontId="0" fillId="0" borderId="0" xfId="0" applyNumberFormat="1"/>
    <xf numFmtId="0" fontId="37" fillId="0" borderId="7" xfId="0" applyFont="1" applyBorder="1" applyAlignment="1">
      <alignment wrapText="1"/>
    </xf>
    <xf numFmtId="0" fontId="37" fillId="0" borderId="8" xfId="0" applyFont="1" applyBorder="1" applyAlignment="1">
      <alignment vertical="center" wrapText="1"/>
    </xf>
    <xf numFmtId="0" fontId="37" fillId="0" borderId="9" xfId="0" applyFont="1" applyBorder="1" applyAlignment="1">
      <alignment vertical="center" wrapText="1"/>
    </xf>
    <xf numFmtId="0" fontId="37" fillId="0" borderId="10" xfId="0" applyFont="1" applyBorder="1" applyAlignment="1">
      <alignment vertical="center"/>
    </xf>
    <xf numFmtId="0" fontId="37" fillId="0" borderId="11" xfId="0" applyFont="1" applyBorder="1" applyAlignment="1">
      <alignment wrapText="1"/>
    </xf>
    <xf numFmtId="21" fontId="37" fillId="0" borderId="12" xfId="0" applyNumberFormat="1" applyFont="1" applyBorder="1" applyAlignment="1">
      <alignment horizontal="right" vertical="center" wrapText="1"/>
    </xf>
    <xf numFmtId="0" fontId="37" fillId="0" borderId="13" xfId="0" applyFont="1" applyBorder="1" applyAlignment="1">
      <alignment horizontal="right" vertical="center" wrapText="1"/>
    </xf>
    <xf numFmtId="0" fontId="37" fillId="0" borderId="14" xfId="0" applyFont="1" applyBorder="1" applyAlignment="1">
      <alignment horizontal="right" vertical="center" wrapText="1"/>
    </xf>
    <xf numFmtId="21" fontId="37" fillId="0" borderId="15" xfId="0" applyNumberFormat="1" applyFont="1" applyBorder="1" applyAlignment="1">
      <alignment horizontal="right" vertical="center" wrapText="1"/>
    </xf>
    <xf numFmtId="0" fontId="37" fillId="0" borderId="16" xfId="0" applyFont="1" applyBorder="1" applyAlignment="1">
      <alignment horizontal="right" vertical="center" wrapText="1"/>
    </xf>
    <xf numFmtId="0" fontId="37" fillId="0" borderId="17" xfId="0" applyFont="1" applyBorder="1" applyAlignment="1">
      <alignment horizontal="right" vertical="center" wrapText="1"/>
    </xf>
    <xf numFmtId="0" fontId="37" fillId="24" borderId="18" xfId="0" applyFont="1" applyFill="1" applyBorder="1" applyAlignment="1">
      <alignment wrapText="1"/>
    </xf>
    <xf numFmtId="3" fontId="0" fillId="0" borderId="0" xfId="0" applyNumberFormat="1"/>
    <xf numFmtId="3" fontId="0" fillId="21" borderId="0" xfId="0" applyNumberFormat="1" applyFill="1"/>
    <xf numFmtId="4" fontId="1" fillId="2" borderId="3" xfId="0" applyNumberFormat="1" applyFont="1" applyFill="1" applyBorder="1"/>
    <xf numFmtId="0" fontId="3" fillId="4" borderId="0" xfId="1" applyFont="1" applyFill="1" applyAlignment="1">
      <alignment horizontal="center" vertical="center"/>
    </xf>
    <xf numFmtId="0" fontId="15" fillId="6" borderId="0" xfId="1" applyFont="1" applyFill="1" applyAlignment="1">
      <alignment horizontal="center" vertical="center"/>
    </xf>
    <xf numFmtId="0" fontId="17" fillId="0" borderId="5" xfId="1" applyFont="1" applyBorder="1" applyAlignment="1">
      <alignment horizontal="left" vertical="center"/>
    </xf>
    <xf numFmtId="0" fontId="18" fillId="12" borderId="6" xfId="1" applyFont="1" applyFill="1" applyBorder="1" applyAlignment="1">
      <alignment horizontal="left" vertical="center" wrapText="1"/>
    </xf>
    <xf numFmtId="0" fontId="15" fillId="13" borderId="0" xfId="1" applyFont="1" applyFill="1" applyAlignment="1">
      <alignment horizontal="center" vertical="center"/>
    </xf>
    <xf numFmtId="0" fontId="19" fillId="14" borderId="6" xfId="1" applyFont="1" applyFill="1" applyBorder="1" applyAlignment="1">
      <alignment horizontal="left" vertical="center" wrapText="1"/>
    </xf>
    <xf numFmtId="0" fontId="4" fillId="5" borderId="0" xfId="1" applyFont="1" applyFill="1" applyAlignment="1">
      <alignment horizontal="center" vertical="center"/>
    </xf>
    <xf numFmtId="0" fontId="5" fillId="6" borderId="0" xfId="1" applyFont="1" applyFill="1" applyAlignment="1">
      <alignment horizontal="center" vertical="center"/>
    </xf>
    <xf numFmtId="0" fontId="25" fillId="7" borderId="6" xfId="1" applyFont="1" applyFill="1" applyBorder="1" applyAlignment="1">
      <alignment horizontal="left" vertical="center"/>
    </xf>
    <xf numFmtId="0" fontId="22" fillId="19" borderId="6" xfId="1" applyFont="1" applyFill="1" applyBorder="1" applyAlignment="1">
      <alignment horizontal="left" vertical="center"/>
    </xf>
    <xf numFmtId="0" fontId="15" fillId="20" borderId="0" xfId="1" applyFont="1" applyFill="1" applyAlignment="1">
      <alignment horizontal="center" vertical="center"/>
    </xf>
    <xf numFmtId="0" fontId="23" fillId="9" borderId="6" xfId="1" applyFont="1" applyFill="1" applyBorder="1" applyAlignment="1">
      <alignment horizontal="left" vertical="center"/>
    </xf>
    <xf numFmtId="0" fontId="24" fillId="8" borderId="6" xfId="1" applyFont="1" applyFill="1" applyBorder="1" applyAlignment="1">
      <alignment horizontal="left" vertical="center"/>
    </xf>
    <xf numFmtId="0" fontId="15" fillId="15" borderId="0" xfId="1" applyFont="1" applyFill="1" applyAlignment="1">
      <alignment horizontal="center" vertical="center"/>
    </xf>
    <xf numFmtId="0" fontId="20" fillId="16" borderId="6" xfId="1" applyFont="1" applyFill="1" applyBorder="1" applyAlignment="1">
      <alignment horizontal="left" vertical="center" wrapText="1"/>
    </xf>
    <xf numFmtId="0" fontId="15" fillId="17" borderId="0" xfId="1" applyFont="1" applyFill="1" applyAlignment="1">
      <alignment horizontal="center" vertical="center"/>
    </xf>
    <xf numFmtId="0" fontId="15" fillId="5" borderId="0" xfId="1" applyFont="1" applyFill="1" applyAlignment="1">
      <alignment horizontal="center" vertical="center"/>
    </xf>
    <xf numFmtId="0" fontId="26" fillId="4" borderId="0" xfId="1" applyFont="1" applyFill="1" applyAlignment="1">
      <alignment horizontal="center" vertical="center"/>
    </xf>
    <xf numFmtId="0" fontId="27" fillId="5" borderId="0" xfId="1" applyFont="1" applyFill="1" applyAlignment="1">
      <alignment horizontal="center" vertical="center"/>
    </xf>
    <xf numFmtId="0" fontId="28" fillId="6" borderId="0" xfId="1" applyFont="1" applyFill="1" applyAlignment="1">
      <alignment horizontal="center" vertical="center" wrapText="1"/>
    </xf>
    <xf numFmtId="0" fontId="38" fillId="25" borderId="0" xfId="0" applyFont="1" applyFill="1" applyAlignment="1">
      <alignment horizontal="left" wrapText="1"/>
    </xf>
    <xf numFmtId="0" fontId="39" fillId="26" borderId="0" xfId="0" applyFont="1" applyFill="1" applyAlignment="1">
      <alignment horizontal="center"/>
    </xf>
    <xf numFmtId="166" fontId="40" fillId="0" borderId="0" xfId="0" applyNumberFormat="1" applyFont="1"/>
    <xf numFmtId="0" fontId="40" fillId="0" borderId="0" xfId="0" applyFont="1"/>
    <xf numFmtId="0" fontId="40" fillId="27" borderId="0" xfId="0" applyFont="1" applyFill="1"/>
  </cellXfs>
  <cellStyles count="2">
    <cellStyle name="Normal" xfId="0" builtinId="0"/>
    <cellStyle name="Normal 2" xfId="1" xr:uid="{A0B1659D-F89C-4102-98C7-BB588CDBAD0A}"/>
  </cellStyles>
  <dxfs count="71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24" formatCode="h:mm:ss\ AM/PM"/>
    </dxf>
    <dxf>
      <numFmt numFmtId="164" formatCode="dd/mm/yyyy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hh:mm:ss"/>
      <alignment horizontal="right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65" formatCode="hh:mm:ss"/>
    </dxf>
    <dxf>
      <numFmt numFmtId="164" formatCode="dd/mm/yyyy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24" formatCode="h:mm:ss\ AM/PM"/>
    </dxf>
    <dxf>
      <numFmt numFmtId="164" formatCode="dd/mm/yyyy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ll_New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7th%20Sem\EE7802%20Undergraduate%20Project\Project\Data%20logger%20data\Hostal%20D_9401774_20260708_202606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Data"/>
      <sheetName val="Elec"/>
      <sheetName val="Civil"/>
      <sheetName val="Mechanical"/>
      <sheetName val="LT"/>
      <sheetName val="Workshop"/>
      <sheetName val="Admin_NCC"/>
      <sheetName val="Admin Down"/>
      <sheetName val="Hostal D"/>
      <sheetName val="Hostal A"/>
      <sheetName val="Hostal B"/>
      <sheetName val="Hostal C"/>
      <sheetName val="Library"/>
      <sheetName val="Canteen"/>
      <sheetName val="Admin Down_5min"/>
      <sheetName val="Canteen2"/>
      <sheetName val="Admin_NCC1"/>
      <sheetName val="All_New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401774_20260708_20260604"/>
      <sheetName val="Hostal D_9401774_20260708_20260"/>
    </sheetNames>
    <sheetDataSet>
      <sheetData sheetId="0"/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2A4AD8-DD73-483D-8694-DA6511CA6511}" name="Table4" displayName="Table4" ref="A1:O97" totalsRowShown="0" headerRowDxfId="70">
  <autoFilter ref="A1:O97" xr:uid="{5B2A4AD8-DD73-483D-8694-DA6511CA6511}"/>
  <tableColumns count="15">
    <tableColumn id="1" xr3:uid="{5EF70B62-F890-4278-AFFC-29CF1DEA085C}" name="Date" dataDxfId="69"/>
    <tableColumn id="2" xr3:uid="{A2848183-D81C-4CED-A128-FEB55064E270}" name="Time" dataDxfId="68"/>
    <tableColumn id="3" xr3:uid="{F83E36ED-C5F3-44AA-ADEF-54BD8532204D}" name="U1_rms_AVG"/>
    <tableColumn id="4" xr3:uid="{F83FAA46-0124-4F2E-97AA-FD4250003182}" name="U2_rms_AVG"/>
    <tableColumn id="5" xr3:uid="{E49E3666-D945-4936-9486-280DD2D750F7}" name="U3_rms_AVG"/>
    <tableColumn id="6" xr3:uid="{6B8CFC2D-CD9E-4776-B13F-3F0411E64B9B}" name="I1_rms_AVG" dataDxfId="67"/>
    <tableColumn id="7" xr3:uid="{4E3BA776-B063-4EC0-A797-842D1AD05DDE}" name="I2_rms_AVG" dataDxfId="66"/>
    <tableColumn id="8" xr3:uid="{81CF5F19-DEC1-4FB6-8597-BE42F13317C8}" name="I3_rms_AVG" dataDxfId="65"/>
    <tableColumn id="9" xr3:uid="{9D134753-C9D5-4DCB-BDE0-E090F82417DB}" name="PF1_AVG" dataDxfId="64"/>
    <tableColumn id="10" xr3:uid="{A9B0D8DE-4E69-40A6-9CD8-A6C685F4AE1E}" name="PF2_AVG" dataDxfId="63"/>
    <tableColumn id="11" xr3:uid="{53C9929B-25CF-4E83-BE18-5D5A4AA4F9DD}" name="PF3_AVG" dataDxfId="62"/>
    <tableColumn id="12" xr3:uid="{C879BCE0-168E-448E-A5DD-E62A1F58D5F8}" name="P1_AVG (W)" dataDxfId="61"/>
    <tableColumn id="13" xr3:uid="{8267A197-FE25-45AC-999F-D5362AD050B1}" name="P2_AVG (W)" dataDxfId="60"/>
    <tableColumn id="14" xr3:uid="{C56D70D0-5E7A-4E36-8D01-0436D984CB39}" name="P3_AVG (W)" dataDxfId="59"/>
    <tableColumn id="15" xr3:uid="{844ACA27-6593-4D30-A934-F42226E80B36}" name="P_sum_AVG (W)" dataDxfId="5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EA94DA-8457-4A51-B725-7E17BA6B3648}" name="Table7" displayName="Table7" ref="A1:O97" totalsRowShown="0" headerRowDxfId="57">
  <autoFilter ref="A1:O97" xr:uid="{BEEA94DA-8457-4A51-B725-7E17BA6B3648}"/>
  <tableColumns count="15">
    <tableColumn id="1" xr3:uid="{7A0E66B8-0939-4C18-8A7B-AC6A38E1E2C4}" name="Date" dataDxfId="56"/>
    <tableColumn id="2" xr3:uid="{7F09AE87-4E3F-46E5-9FF3-04B43AAB4803}" name="Time" dataDxfId="55"/>
    <tableColumn id="3" xr3:uid="{415D066F-14D9-4F19-AB3C-ED0D39876D7A}" name="U1_rms_AVG" dataDxfId="54"/>
    <tableColumn id="4" xr3:uid="{2B034083-703E-4A85-8671-5164401A4180}" name="U2_rms_AVG" dataDxfId="53"/>
    <tableColumn id="5" xr3:uid="{EE33D3B1-8324-4923-8BDC-28CA6BB34D4F}" name="U3_rms_AVG" dataDxfId="52"/>
    <tableColumn id="6" xr3:uid="{54CDA3A8-3797-46BE-A740-6EEE5016188D}" name="I1_rms_AVG" dataDxfId="51"/>
    <tableColumn id="7" xr3:uid="{C0B13C0A-DBF3-4DAD-B6EE-F5A9BD015858}" name="I2_rms_AVG" dataDxfId="50"/>
    <tableColumn id="8" xr3:uid="{8019D456-5EBA-4644-BFB0-7DFC3B113D45}" name="I3_rms_AVG" dataDxfId="49"/>
    <tableColumn id="9" xr3:uid="{A2D2F427-8790-4BAB-ACCD-FE056E6788C2}" name="PF1_AVG" dataDxfId="48"/>
    <tableColumn id="10" xr3:uid="{448B698A-60BC-4E43-AAAA-8844169FF312}" name="PF2_AVG" dataDxfId="47"/>
    <tableColumn id="11" xr3:uid="{69E3A579-C577-456E-A07C-9B808284B759}" name="PF3_AVG" dataDxfId="46"/>
    <tableColumn id="12" xr3:uid="{C7C2BBF8-08C2-41EF-ACE4-9E40DEA8E550}" name="P1_AVG" dataDxfId="45"/>
    <tableColumn id="13" xr3:uid="{975E326C-DA7E-4142-A4B9-3ECA13BDFBC8}" name="P2_AVG" dataDxfId="44"/>
    <tableColumn id="14" xr3:uid="{D25623D7-7463-4B9E-8C6C-E2D8C9865BE6}" name="P3_AVG" dataDxfId="43"/>
    <tableColumn id="15" xr3:uid="{2CA6DAC3-A684-4387-ADF7-B7867F4C07C3}" name="P_sum_AVG" dataDxfId="4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D37914-E1C8-4FC6-B169-448E38459C68}" name="Table12" displayName="Table12" ref="E1:R97" totalsRowShown="0" headerRowDxfId="41" dataDxfId="39" headerRowBorderDxfId="40" tableBorderDxfId="38" totalsRowBorderDxfId="37">
  <autoFilter ref="E1:R97" xr:uid="{80D37914-E1C8-4FC6-B169-448E38459C68}"/>
  <tableColumns count="14">
    <tableColumn id="1" xr3:uid="{43AC26E1-F726-4434-82C9-40417EF0126D}" name="Time" dataDxfId="36"/>
    <tableColumn id="2" xr3:uid="{2010AAF2-4EE6-4588-A9CB-3F59A6BDF0E1}" name="U1_rms_AVG" dataDxfId="35"/>
    <tableColumn id="3" xr3:uid="{DF350458-8341-4BF4-9F3C-5DA181A7127E}" name="U2_rms_AVG" dataDxfId="34"/>
    <tableColumn id="4" xr3:uid="{E6E204EE-379A-4BE2-9CDD-DF32D315766E}" name="U3_rms_AVG" dataDxfId="33"/>
    <tableColumn id="5" xr3:uid="{2D2849A7-33DD-4F49-8D46-A38E4D68F633}" name="I1_rms_AVG" dataDxfId="32"/>
    <tableColumn id="6" xr3:uid="{BE6CB726-6ABD-47FF-9A1C-C6F24ECD3DF2}" name="I2_rms_AVG" dataDxfId="31"/>
    <tableColumn id="7" xr3:uid="{C47DF6D0-B89E-41C6-9F0C-9487AC0AF372}" name="I3_rms_AVG" dataDxfId="30"/>
    <tableColumn id="8" xr3:uid="{7CD4C068-C9B2-40AE-A07E-7C474484371C}" name="PF1_AVG" dataDxfId="29"/>
    <tableColumn id="9" xr3:uid="{0849AA95-C73B-407D-A3AE-AACEE4AD0793}" name="PF2_AVG" dataDxfId="28"/>
    <tableColumn id="10" xr3:uid="{FEBAAF81-6D6D-4887-983A-969854D39B7A}" name="PF3_AVG" dataDxfId="27"/>
    <tableColumn id="11" xr3:uid="{41A049C6-8F36-4C70-9E3F-D09BF45C5D6F}" name="P1_AVG (W)" dataDxfId="26"/>
    <tableColumn id="12" xr3:uid="{CD16B33E-42D2-469F-A449-DC1F9EA2ED63}" name="P2_AVG (W)" dataDxfId="25"/>
    <tableColumn id="13" xr3:uid="{5DFDDAF3-D55D-454D-8C3F-204C276ABE37}" name="P3_AVG (W)" dataDxfId="24"/>
    <tableColumn id="14" xr3:uid="{F4988050-BA77-4239-85AF-950F4FB59CBE}" name="P_sum_AVG (W)" dataDxfId="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3AB6A0-D511-4C99-B99D-A32005CECB5C}" name="Table14" displayName="Table14" ref="D1:D98" totalsRowShown="0" headerRowDxfId="22" dataDxfId="20" headerRowBorderDxfId="21" tableBorderDxfId="19" totalsRowBorderDxfId="18">
  <autoFilter ref="D1:D98" xr:uid="{EB3AB6A0-D511-4C99-B99D-A32005CECB5C}"/>
  <tableColumns count="1">
    <tableColumn id="1" xr3:uid="{9E4464F1-5282-481B-92F5-8BB44B089F2A}" name="Date" dataDxfId="1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F9336FA-0955-410D-A59B-BFB9EDE1F9B4}" name="Table3" displayName="Table3" ref="A1:S93" totalsRowShown="0" headerRowDxfId="16">
  <autoFilter ref="A1:S93" xr:uid="{AF9336FA-0955-410D-A59B-BFB9EDE1F9B4}"/>
  <tableColumns count="19">
    <tableColumn id="1" xr3:uid="{AF2B7CB5-9290-4774-BA1C-1E7991B89E53}" name="Date" dataDxfId="15"/>
    <tableColumn id="2" xr3:uid="{B90635D6-39D3-4EF5-8C3D-6F24D61733D9}" name="Time" dataDxfId="14"/>
    <tableColumn id="3" xr3:uid="{1C561522-E147-466C-933D-7827683C7BF2}" name="U1_rms_AVG"/>
    <tableColumn id="4" xr3:uid="{61F0B290-0321-4F8E-9396-888946AAFD9B}" name="U2_rms_AVG"/>
    <tableColumn id="5" xr3:uid="{75A38BCF-3360-4C0E-BAF8-5E7C27AB539C}" name="U3_rms_AVG"/>
    <tableColumn id="6" xr3:uid="{6B3546CE-9983-4C42-AECC-395FDB1AE72C}" name="I1_rms_AVG" dataDxfId="13"/>
    <tableColumn id="7" xr3:uid="{D9BD9B42-2665-4CEC-82EC-4C0069FB4E5D}" name="I2_rms_AVG" dataDxfId="12"/>
    <tableColumn id="8" xr3:uid="{2CAA885B-2DE9-4001-86D6-4C92AAAD686D}" name="I3_rms_AVG" dataDxfId="11"/>
    <tableColumn id="9" xr3:uid="{50FE98B4-297F-44A8-BF87-4D82B22FE88E}" name="PF1_AVG" dataDxfId="10"/>
    <tableColumn id="10" xr3:uid="{EB18DC5D-F26C-4824-9E06-C5DD149E5859}" name="PF2_AVG" dataDxfId="9"/>
    <tableColumn id="11" xr3:uid="{5C216872-9EC6-4E66-93D5-C5508DFBF114}" name="PF3_AVG" dataDxfId="8"/>
    <tableColumn id="12" xr3:uid="{930EFB24-C4D6-4536-808D-F200823F3EF9}" name="P1_AVG (W)" dataDxfId="7"/>
    <tableColumn id="13" xr3:uid="{9458A328-59FF-4828-A3A5-3FF27FF77DE9}" name="P2_AVG (W)" dataDxfId="6"/>
    <tableColumn id="14" xr3:uid="{D893FA9D-300C-4B75-AC6E-A4CB73A2A570}" name="P3_AVG (W)" dataDxfId="5"/>
    <tableColumn id="15" xr3:uid="{3AF3D4E4-154D-45CC-B2B4-611790C8AC26}" name="P_sum_AVG (W)" dataDxfId="4">
      <calculatedColumnFormula>(Table3[[#This Row],[P1_AVG (W)]]+Table3[[#This Row],[P2_AVG (W)]]+Table3[[#This Row],[P3_AVG (W)]])</calculatedColumnFormula>
    </tableColumn>
    <tableColumn id="16" xr3:uid="{93856A75-28F8-41CC-A707-5655CFC21AB7}" name="P1_AVG (W)2" dataDxfId="3">
      <calculatedColumnFormula>ABS(Table3[[#This Row],[P1_AVG (W)]])</calculatedColumnFormula>
    </tableColumn>
    <tableColumn id="17" xr3:uid="{42C72D4B-8A40-4BD6-B4E2-A3DECB74205D}" name="P2_AVG (W)2" dataDxfId="2">
      <calculatedColumnFormula>ABS(Table3[[#This Row],[P2_AVG (W)]])</calculatedColumnFormula>
    </tableColumn>
    <tableColumn id="18" xr3:uid="{98A763B5-8D72-46C5-98C9-D489EC144BBF}" name="P3_AVG (W)2" dataDxfId="1">
      <calculatedColumnFormula>ABS(Table3[[#This Row],[P3_AVG (W)]])</calculatedColumnFormula>
    </tableColumn>
    <tableColumn id="19" xr3:uid="{AB460C2F-76A4-4DE6-A526-27DF81418A30}" name="P_sum_AVG (W)2" dataDxfId="0">
      <calculatedColumnFormula>SUM(Table3[[#This Row],[P1_AVG (W)2]:[P3_AVG (W)2]])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772E3-88DB-4DEE-8211-5E3403B18090}">
  <dimension ref="A1:O97"/>
  <sheetViews>
    <sheetView topLeftCell="A37" workbookViewId="0">
      <selection sqref="A1:O97"/>
    </sheetView>
  </sheetViews>
  <sheetFormatPr defaultRowHeight="14.4" x14ac:dyDescent="0.3"/>
  <cols>
    <col min="2" max="2" width="13.441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46210</v>
      </c>
      <c r="B2" s="3">
        <v>1.0416666666666666E-2</v>
      </c>
      <c r="C2">
        <v>234</v>
      </c>
      <c r="D2">
        <v>233</v>
      </c>
      <c r="E2">
        <v>232</v>
      </c>
      <c r="F2" s="1">
        <v>42.666666666666664</v>
      </c>
      <c r="G2" s="1">
        <v>34.833333333333336</v>
      </c>
      <c r="H2" s="1">
        <v>17.833333333333332</v>
      </c>
      <c r="I2" s="1">
        <v>-0.95699999999999996</v>
      </c>
      <c r="J2" s="1">
        <v>-0.97219999999999995</v>
      </c>
      <c r="K2" s="1">
        <v>0.98770000000000002</v>
      </c>
      <c r="L2" s="1">
        <v>9533.3333333333339</v>
      </c>
      <c r="M2" s="1">
        <v>7883.333333333333</v>
      </c>
      <c r="N2" s="1">
        <v>4083.3333333333335</v>
      </c>
      <c r="O2" s="1">
        <v>21500</v>
      </c>
    </row>
    <row r="3" spans="1:15" x14ac:dyDescent="0.3">
      <c r="A3" s="2">
        <v>46210</v>
      </c>
      <c r="B3" s="3">
        <v>2.0833333333333332E-2</v>
      </c>
      <c r="C3">
        <v>235</v>
      </c>
      <c r="D3">
        <v>234</v>
      </c>
      <c r="E3">
        <v>233</v>
      </c>
      <c r="F3" s="1">
        <v>40</v>
      </c>
      <c r="G3" s="1">
        <v>35.333333333333336</v>
      </c>
      <c r="H3" s="1">
        <v>17.5</v>
      </c>
      <c r="I3" s="1">
        <v>-0.95599999999999996</v>
      </c>
      <c r="J3" s="1">
        <v>-0.97350000000000003</v>
      </c>
      <c r="K3" s="1">
        <v>0.98670000000000002</v>
      </c>
      <c r="L3" s="1">
        <v>8950</v>
      </c>
      <c r="M3" s="1">
        <v>8033.333333333333</v>
      </c>
      <c r="N3" s="1">
        <v>4033.3333333333335</v>
      </c>
      <c r="O3" s="1">
        <v>21000</v>
      </c>
    </row>
    <row r="4" spans="1:15" x14ac:dyDescent="0.3">
      <c r="A4" s="2">
        <v>46210</v>
      </c>
      <c r="B4" s="3">
        <v>3.125E-2</v>
      </c>
      <c r="C4">
        <v>234</v>
      </c>
      <c r="D4">
        <v>233</v>
      </c>
      <c r="E4">
        <v>232</v>
      </c>
      <c r="F4" s="1">
        <v>37.666666666666664</v>
      </c>
      <c r="G4" s="1">
        <v>34.833333333333336</v>
      </c>
      <c r="H4" s="1">
        <v>17.5</v>
      </c>
      <c r="I4" s="1">
        <v>-0.95799999999999996</v>
      </c>
      <c r="J4" s="1">
        <v>-0.97319999999999995</v>
      </c>
      <c r="K4" s="1">
        <v>0.98709999999999998</v>
      </c>
      <c r="L4" s="1">
        <v>8416.6666666666661</v>
      </c>
      <c r="M4" s="1">
        <v>7883.333333333333</v>
      </c>
      <c r="N4" s="1">
        <v>4000</v>
      </c>
      <c r="O4" s="1">
        <v>20333.333333333332</v>
      </c>
    </row>
    <row r="5" spans="1:15" x14ac:dyDescent="0.3">
      <c r="A5" s="2">
        <v>46210</v>
      </c>
      <c r="B5" s="3">
        <v>4.1666666666666664E-2</v>
      </c>
      <c r="C5">
        <v>233</v>
      </c>
      <c r="D5">
        <v>232</v>
      </c>
      <c r="E5">
        <v>231</v>
      </c>
      <c r="F5" s="1">
        <v>37.666666666666664</v>
      </c>
      <c r="G5" s="1">
        <v>34.333333333333336</v>
      </c>
      <c r="H5" s="1">
        <v>17.5</v>
      </c>
      <c r="I5" s="1">
        <v>-0.95709999999999995</v>
      </c>
      <c r="J5" s="1">
        <v>-0.9718</v>
      </c>
      <c r="K5" s="1">
        <v>0.98729999999999996</v>
      </c>
      <c r="L5" s="1">
        <v>8383.3333333333339</v>
      </c>
      <c r="M5" s="1">
        <v>7716.666666666667</v>
      </c>
      <c r="N5" s="1">
        <v>3983.3333333333335</v>
      </c>
      <c r="O5" s="1">
        <v>20166.666666666668</v>
      </c>
    </row>
    <row r="6" spans="1:15" x14ac:dyDescent="0.3">
      <c r="A6" s="2">
        <v>46210</v>
      </c>
      <c r="B6" s="3">
        <v>5.2083333333333336E-2</v>
      </c>
      <c r="C6">
        <v>232</v>
      </c>
      <c r="D6">
        <v>232</v>
      </c>
      <c r="E6">
        <v>231</v>
      </c>
      <c r="F6" s="1">
        <v>37.666666666666664</v>
      </c>
      <c r="G6" s="1">
        <v>33.166666666666664</v>
      </c>
      <c r="H6" s="1">
        <v>18</v>
      </c>
      <c r="I6" s="1">
        <v>-0.95760000000000001</v>
      </c>
      <c r="J6" s="1">
        <v>-0.96799999999999997</v>
      </c>
      <c r="K6" s="1">
        <v>0.98880000000000001</v>
      </c>
      <c r="L6" s="1">
        <v>8366.6666666666661</v>
      </c>
      <c r="M6" s="1">
        <v>7400</v>
      </c>
      <c r="N6" s="1">
        <v>4100</v>
      </c>
      <c r="O6" s="1">
        <v>19833.333333333332</v>
      </c>
    </row>
    <row r="7" spans="1:15" x14ac:dyDescent="0.3">
      <c r="A7" s="2">
        <v>46210</v>
      </c>
      <c r="B7" s="3">
        <v>6.25E-2</v>
      </c>
      <c r="C7">
        <v>232</v>
      </c>
      <c r="D7">
        <v>231</v>
      </c>
      <c r="E7">
        <v>230</v>
      </c>
      <c r="F7" s="1">
        <v>37.166666666666664</v>
      </c>
      <c r="G7" s="1">
        <v>35.166666666666664</v>
      </c>
      <c r="H7" s="1">
        <v>18.5</v>
      </c>
      <c r="I7" s="1">
        <v>-0.95650000000000002</v>
      </c>
      <c r="J7" s="1">
        <v>-0.97419999999999995</v>
      </c>
      <c r="K7" s="1">
        <v>0.9899</v>
      </c>
      <c r="L7" s="1">
        <v>8216.6666666666661</v>
      </c>
      <c r="M7" s="1">
        <v>7900</v>
      </c>
      <c r="N7" s="1">
        <v>4233.333333333333</v>
      </c>
      <c r="O7" s="1">
        <v>20333.333333333332</v>
      </c>
    </row>
    <row r="8" spans="1:15" x14ac:dyDescent="0.3">
      <c r="A8" s="2">
        <v>46210</v>
      </c>
      <c r="B8" s="3">
        <v>7.2916666666666671E-2</v>
      </c>
      <c r="C8">
        <v>233</v>
      </c>
      <c r="D8">
        <v>232</v>
      </c>
      <c r="E8">
        <v>231</v>
      </c>
      <c r="F8" s="1">
        <v>37.5</v>
      </c>
      <c r="G8" s="1">
        <v>34.833333333333336</v>
      </c>
      <c r="H8" s="1">
        <v>18.833333333333332</v>
      </c>
      <c r="I8" s="1">
        <v>-0.95760000000000001</v>
      </c>
      <c r="J8" s="1">
        <v>-0.97360000000000002</v>
      </c>
      <c r="K8" s="1">
        <v>0.99029999999999996</v>
      </c>
      <c r="L8" s="1">
        <v>8333.3333333333339</v>
      </c>
      <c r="M8" s="1">
        <v>7866.666666666667</v>
      </c>
      <c r="N8" s="1">
        <v>4300</v>
      </c>
      <c r="O8" s="1">
        <v>20500</v>
      </c>
    </row>
    <row r="9" spans="1:15" x14ac:dyDescent="0.3">
      <c r="A9" s="2">
        <v>46210</v>
      </c>
      <c r="B9" s="3">
        <v>8.3333333333333329E-2</v>
      </c>
      <c r="C9">
        <v>233</v>
      </c>
      <c r="D9">
        <v>232</v>
      </c>
      <c r="E9">
        <v>231</v>
      </c>
      <c r="F9" s="1">
        <v>37.5</v>
      </c>
      <c r="G9" s="1">
        <v>34.5</v>
      </c>
      <c r="H9" s="1">
        <v>18.5</v>
      </c>
      <c r="I9" s="1">
        <v>-0.95760000000000001</v>
      </c>
      <c r="J9" s="1">
        <v>-0.97219999999999995</v>
      </c>
      <c r="K9" s="1">
        <v>0.98950000000000005</v>
      </c>
      <c r="L9" s="1">
        <v>8333.3333333333339</v>
      </c>
      <c r="M9" s="1">
        <v>7766.666666666667</v>
      </c>
      <c r="N9" s="1">
        <v>4216.666666666667</v>
      </c>
      <c r="O9" s="1">
        <v>20333.333333333332</v>
      </c>
    </row>
    <row r="10" spans="1:15" x14ac:dyDescent="0.3">
      <c r="A10" s="2">
        <v>46210</v>
      </c>
      <c r="B10" s="3">
        <v>9.375E-2</v>
      </c>
      <c r="C10">
        <v>234</v>
      </c>
      <c r="D10">
        <v>233</v>
      </c>
      <c r="E10">
        <v>232</v>
      </c>
      <c r="F10" s="1">
        <v>37.333333333333336</v>
      </c>
      <c r="G10" s="1">
        <v>34</v>
      </c>
      <c r="H10" s="1">
        <v>18.333333333333332</v>
      </c>
      <c r="I10" s="1">
        <v>-0.95569999999999999</v>
      </c>
      <c r="J10" s="1">
        <v>-0.97089999999999999</v>
      </c>
      <c r="K10" s="1">
        <v>0.98919999999999997</v>
      </c>
      <c r="L10" s="1">
        <v>8333.3333333333339</v>
      </c>
      <c r="M10" s="1">
        <v>7700</v>
      </c>
      <c r="N10" s="1">
        <v>4216.666666666667</v>
      </c>
      <c r="O10" s="1">
        <v>20333.333333333332</v>
      </c>
    </row>
    <row r="11" spans="1:15" x14ac:dyDescent="0.3">
      <c r="A11" s="2">
        <v>46210</v>
      </c>
      <c r="B11" s="3">
        <v>0.10416666666666667</v>
      </c>
      <c r="C11">
        <v>234</v>
      </c>
      <c r="D11">
        <v>233</v>
      </c>
      <c r="E11">
        <v>232</v>
      </c>
      <c r="F11" s="1">
        <v>37.333333333333336</v>
      </c>
      <c r="G11" s="1">
        <v>34</v>
      </c>
      <c r="H11" s="1">
        <v>18.333333333333332</v>
      </c>
      <c r="I11" s="1">
        <v>-0.95540000000000003</v>
      </c>
      <c r="J11" s="1">
        <v>-0.97070000000000001</v>
      </c>
      <c r="K11" s="1">
        <v>0.9889</v>
      </c>
      <c r="L11" s="1">
        <v>8316.6666666666661</v>
      </c>
      <c r="M11" s="1">
        <v>7700</v>
      </c>
      <c r="N11" s="1">
        <v>4200</v>
      </c>
      <c r="O11" s="1">
        <v>20166.666666666668</v>
      </c>
    </row>
    <row r="12" spans="1:15" x14ac:dyDescent="0.3">
      <c r="A12" s="2">
        <v>46210</v>
      </c>
      <c r="B12" s="3">
        <v>0.11458333333333333</v>
      </c>
      <c r="C12">
        <v>235</v>
      </c>
      <c r="D12">
        <v>234</v>
      </c>
      <c r="E12">
        <v>233</v>
      </c>
      <c r="F12" s="1">
        <v>36.333333333333336</v>
      </c>
      <c r="G12" s="1">
        <v>34</v>
      </c>
      <c r="H12" s="1">
        <v>18</v>
      </c>
      <c r="I12" s="1">
        <v>-0.95150000000000001</v>
      </c>
      <c r="J12" s="1">
        <v>-0.97050000000000003</v>
      </c>
      <c r="K12" s="1">
        <v>0.9879</v>
      </c>
      <c r="L12" s="1">
        <v>8083.333333333333</v>
      </c>
      <c r="M12" s="1">
        <v>7700</v>
      </c>
      <c r="N12" s="1">
        <v>4116.666666666667</v>
      </c>
      <c r="O12" s="1">
        <v>19833.333333333332</v>
      </c>
    </row>
    <row r="13" spans="1:15" x14ac:dyDescent="0.3">
      <c r="A13" s="2">
        <v>46210</v>
      </c>
      <c r="B13" s="3">
        <v>0.125</v>
      </c>
      <c r="C13">
        <v>235</v>
      </c>
      <c r="D13">
        <v>235</v>
      </c>
      <c r="E13">
        <v>234</v>
      </c>
      <c r="F13" s="1">
        <v>35.5</v>
      </c>
      <c r="G13" s="1">
        <v>33.833333333333336</v>
      </c>
      <c r="H13" s="1">
        <v>15.133333333333333</v>
      </c>
      <c r="I13" s="1">
        <v>-0.94989999999999997</v>
      </c>
      <c r="J13" s="1">
        <v>-0.96989999999999998</v>
      </c>
      <c r="K13" s="1">
        <v>0.97719999999999996</v>
      </c>
      <c r="L13" s="1">
        <v>7933.333333333333</v>
      </c>
      <c r="M13" s="1">
        <v>7683.333333333333</v>
      </c>
      <c r="N13" s="1">
        <v>3450</v>
      </c>
      <c r="O13" s="1">
        <v>19000</v>
      </c>
    </row>
    <row r="14" spans="1:15" x14ac:dyDescent="0.3">
      <c r="A14" s="2">
        <v>46210</v>
      </c>
      <c r="B14" s="3">
        <v>0.13541666666666666</v>
      </c>
      <c r="C14">
        <v>235</v>
      </c>
      <c r="D14">
        <v>234</v>
      </c>
      <c r="E14">
        <v>233</v>
      </c>
      <c r="F14" s="1">
        <v>36</v>
      </c>
      <c r="G14" s="1">
        <v>33.833333333333336</v>
      </c>
      <c r="H14" s="1">
        <v>15.133333333333333</v>
      </c>
      <c r="I14" s="1">
        <v>-0.95050000000000001</v>
      </c>
      <c r="J14" s="1">
        <v>-0.97009999999999996</v>
      </c>
      <c r="K14" s="1">
        <v>0.97699999999999998</v>
      </c>
      <c r="L14" s="1">
        <v>8016.666666666667</v>
      </c>
      <c r="M14" s="1">
        <v>7700</v>
      </c>
      <c r="N14" s="1">
        <v>3450</v>
      </c>
      <c r="O14" s="1">
        <v>19166.666666666668</v>
      </c>
    </row>
    <row r="15" spans="1:15" x14ac:dyDescent="0.3">
      <c r="A15" s="2">
        <v>46210</v>
      </c>
      <c r="B15" s="3">
        <v>0.14583333333333334</v>
      </c>
      <c r="C15">
        <v>236</v>
      </c>
      <c r="D15">
        <v>235</v>
      </c>
      <c r="E15">
        <v>234</v>
      </c>
      <c r="F15" s="1">
        <v>36</v>
      </c>
      <c r="G15" s="1">
        <v>33.666666666666664</v>
      </c>
      <c r="H15" s="1">
        <v>15.083333333333334</v>
      </c>
      <c r="I15" s="1">
        <v>-0.95079999999999998</v>
      </c>
      <c r="J15" s="1">
        <v>-0.96919999999999995</v>
      </c>
      <c r="K15" s="1">
        <v>0.97650000000000003</v>
      </c>
      <c r="L15" s="1">
        <v>8066.666666666667</v>
      </c>
      <c r="M15" s="1">
        <v>7666.666666666667</v>
      </c>
      <c r="N15" s="1">
        <v>3450</v>
      </c>
      <c r="O15" s="1">
        <v>19166.666666666668</v>
      </c>
    </row>
    <row r="16" spans="1:15" x14ac:dyDescent="0.3">
      <c r="A16" s="2">
        <v>46210</v>
      </c>
      <c r="B16" s="3">
        <v>0.15625</v>
      </c>
      <c r="C16">
        <v>234</v>
      </c>
      <c r="D16">
        <v>233</v>
      </c>
      <c r="E16">
        <v>232</v>
      </c>
      <c r="F16" s="1">
        <v>36.5</v>
      </c>
      <c r="G16" s="1">
        <v>34</v>
      </c>
      <c r="H16" s="1">
        <v>15.083333333333334</v>
      </c>
      <c r="I16" s="1">
        <v>-0.95230000000000004</v>
      </c>
      <c r="J16" s="1">
        <v>-0.9708</v>
      </c>
      <c r="K16" s="1">
        <v>0.97740000000000005</v>
      </c>
      <c r="L16" s="1">
        <v>8116.666666666667</v>
      </c>
      <c r="M16" s="1">
        <v>7683.333333333333</v>
      </c>
      <c r="N16" s="1">
        <v>3416.6666666666665</v>
      </c>
      <c r="O16" s="1">
        <v>19166.666666666668</v>
      </c>
    </row>
    <row r="17" spans="1:15" x14ac:dyDescent="0.3">
      <c r="A17" s="2">
        <v>46210</v>
      </c>
      <c r="B17" s="3">
        <v>0.16666666666666666</v>
      </c>
      <c r="C17">
        <v>233</v>
      </c>
      <c r="D17">
        <v>232</v>
      </c>
      <c r="E17">
        <v>232</v>
      </c>
      <c r="F17" s="1">
        <v>37.166666666666664</v>
      </c>
      <c r="G17" s="1">
        <v>33.833333333333336</v>
      </c>
      <c r="H17" s="1">
        <v>14.783333333333333</v>
      </c>
      <c r="I17" s="1">
        <v>-0.95530000000000004</v>
      </c>
      <c r="J17" s="1">
        <v>-0.97060000000000002</v>
      </c>
      <c r="K17" s="1">
        <v>0.9758</v>
      </c>
      <c r="L17" s="1">
        <v>8250</v>
      </c>
      <c r="M17" s="1">
        <v>7633.333333333333</v>
      </c>
      <c r="N17" s="1">
        <v>3333.3333333333335</v>
      </c>
      <c r="O17" s="1">
        <v>19166.666666666668</v>
      </c>
    </row>
    <row r="18" spans="1:15" x14ac:dyDescent="0.3">
      <c r="A18" s="2">
        <v>46210</v>
      </c>
      <c r="B18" s="3">
        <v>0.17708333333333334</v>
      </c>
      <c r="C18">
        <v>233</v>
      </c>
      <c r="D18">
        <v>232</v>
      </c>
      <c r="E18">
        <v>231</v>
      </c>
      <c r="F18" s="1">
        <v>36.5</v>
      </c>
      <c r="G18" s="1">
        <v>30.666666666666668</v>
      </c>
      <c r="H18" s="1">
        <v>14.816666666666666</v>
      </c>
      <c r="I18" s="1">
        <v>-0.95440000000000003</v>
      </c>
      <c r="J18" s="1">
        <v>-0.96020000000000005</v>
      </c>
      <c r="K18" s="1">
        <v>0.97599999999999998</v>
      </c>
      <c r="L18" s="1">
        <v>8100</v>
      </c>
      <c r="M18" s="1">
        <v>6800</v>
      </c>
      <c r="N18" s="1">
        <v>3350</v>
      </c>
      <c r="O18" s="1">
        <v>18333.333333333332</v>
      </c>
    </row>
    <row r="19" spans="1:15" x14ac:dyDescent="0.3">
      <c r="A19" s="2">
        <v>46210</v>
      </c>
      <c r="B19" s="3">
        <v>0.1875</v>
      </c>
      <c r="C19">
        <v>232</v>
      </c>
      <c r="D19">
        <v>231</v>
      </c>
      <c r="E19">
        <v>230</v>
      </c>
      <c r="F19" s="1">
        <v>37.333333333333336</v>
      </c>
      <c r="G19" s="1">
        <v>34</v>
      </c>
      <c r="H19" s="1">
        <v>14.916666666666666</v>
      </c>
      <c r="I19" s="1">
        <v>-0.95709999999999995</v>
      </c>
      <c r="J19" s="1">
        <v>-0.97140000000000004</v>
      </c>
      <c r="K19" s="1">
        <v>0.97689999999999999</v>
      </c>
      <c r="L19" s="1">
        <v>8266.6666666666661</v>
      </c>
      <c r="M19" s="1">
        <v>7650</v>
      </c>
      <c r="N19" s="1">
        <v>3350</v>
      </c>
      <c r="O19" s="1">
        <v>19333.333333333332</v>
      </c>
    </row>
    <row r="20" spans="1:15" x14ac:dyDescent="0.3">
      <c r="A20" s="2">
        <v>46210</v>
      </c>
      <c r="B20" s="3">
        <v>0.19791666666666666</v>
      </c>
      <c r="C20">
        <v>231</v>
      </c>
      <c r="D20">
        <v>230</v>
      </c>
      <c r="E20">
        <v>230</v>
      </c>
      <c r="F20" s="1">
        <v>37.666666666666664</v>
      </c>
      <c r="G20" s="1">
        <v>34.333333333333336</v>
      </c>
      <c r="H20" s="1">
        <v>14.933333333333334</v>
      </c>
      <c r="I20" s="1">
        <v>-0.95789999999999997</v>
      </c>
      <c r="J20" s="1">
        <v>-0.97260000000000002</v>
      </c>
      <c r="K20" s="1">
        <v>0.97719999999999996</v>
      </c>
      <c r="L20" s="1">
        <v>8300</v>
      </c>
      <c r="M20" s="1">
        <v>7700</v>
      </c>
      <c r="N20" s="1">
        <v>3350</v>
      </c>
      <c r="O20" s="1">
        <v>19333.333333333332</v>
      </c>
    </row>
    <row r="21" spans="1:15" x14ac:dyDescent="0.3">
      <c r="A21" s="2">
        <v>46210</v>
      </c>
      <c r="B21" s="3">
        <v>0.20833333333333334</v>
      </c>
      <c r="C21">
        <v>230</v>
      </c>
      <c r="D21">
        <v>230</v>
      </c>
      <c r="E21">
        <v>229</v>
      </c>
      <c r="F21" s="1">
        <v>37.5</v>
      </c>
      <c r="G21" s="1">
        <v>34.333333333333336</v>
      </c>
      <c r="H21" s="1">
        <v>14.95</v>
      </c>
      <c r="I21" s="1">
        <v>-0.95669999999999999</v>
      </c>
      <c r="J21" s="1">
        <v>-0.97299999999999998</v>
      </c>
      <c r="K21" s="1">
        <v>0.97770000000000001</v>
      </c>
      <c r="L21" s="1">
        <v>8233.3333333333339</v>
      </c>
      <c r="M21" s="1">
        <v>7683.333333333333</v>
      </c>
      <c r="N21" s="1">
        <v>3333.3333333333335</v>
      </c>
      <c r="O21" s="1">
        <v>19333.333333333332</v>
      </c>
    </row>
    <row r="22" spans="1:15" x14ac:dyDescent="0.3">
      <c r="A22" s="2">
        <v>46210</v>
      </c>
      <c r="B22" s="3">
        <v>0.21875</v>
      </c>
      <c r="C22">
        <v>229</v>
      </c>
      <c r="D22">
        <v>229</v>
      </c>
      <c r="E22">
        <v>228</v>
      </c>
      <c r="F22" s="1">
        <v>37.666666666666664</v>
      </c>
      <c r="G22" s="1">
        <v>34.5</v>
      </c>
      <c r="H22" s="1">
        <v>14.983333333333333</v>
      </c>
      <c r="I22" s="1">
        <v>-0.95779999999999998</v>
      </c>
      <c r="J22" s="1">
        <v>-0.97360000000000002</v>
      </c>
      <c r="K22" s="1">
        <v>0.97829999999999995</v>
      </c>
      <c r="L22" s="1">
        <v>8233.3333333333339</v>
      </c>
      <c r="M22" s="1">
        <v>7683.333333333333</v>
      </c>
      <c r="N22" s="1">
        <v>3333.3333333333335</v>
      </c>
      <c r="O22" s="1">
        <v>19333.333333333332</v>
      </c>
    </row>
    <row r="23" spans="1:15" x14ac:dyDescent="0.3">
      <c r="A23" s="2">
        <v>46210</v>
      </c>
      <c r="B23" s="3">
        <v>0.22916666666666666</v>
      </c>
      <c r="C23">
        <v>229</v>
      </c>
      <c r="D23">
        <v>228</v>
      </c>
      <c r="E23">
        <v>227</v>
      </c>
      <c r="F23" s="1">
        <v>37</v>
      </c>
      <c r="G23" s="1">
        <v>34.5</v>
      </c>
      <c r="H23" s="1">
        <v>14.983333333333333</v>
      </c>
      <c r="I23" s="1">
        <v>-0.95609999999999995</v>
      </c>
      <c r="J23" s="1">
        <v>-0.97370000000000001</v>
      </c>
      <c r="K23" s="1">
        <v>0.97840000000000005</v>
      </c>
      <c r="L23" s="1">
        <v>8083.333333333333</v>
      </c>
      <c r="M23" s="1">
        <v>7683.333333333333</v>
      </c>
      <c r="N23" s="1">
        <v>3333.3333333333335</v>
      </c>
      <c r="O23" s="1">
        <v>19166.666666666668</v>
      </c>
    </row>
    <row r="24" spans="1:15" x14ac:dyDescent="0.3">
      <c r="A24" s="2">
        <v>46210</v>
      </c>
      <c r="B24" s="3">
        <v>0.23958333333333334</v>
      </c>
      <c r="C24">
        <v>228</v>
      </c>
      <c r="D24">
        <v>227</v>
      </c>
      <c r="E24">
        <v>226</v>
      </c>
      <c r="F24" s="1">
        <v>38.166666666666664</v>
      </c>
      <c r="G24" s="1">
        <v>34.666666666666664</v>
      </c>
      <c r="H24" s="1">
        <v>14.966666666666667</v>
      </c>
      <c r="I24" s="1">
        <v>-0.95930000000000004</v>
      </c>
      <c r="J24" s="1">
        <v>-0.97440000000000004</v>
      </c>
      <c r="K24" s="1">
        <v>0.97960000000000003</v>
      </c>
      <c r="L24" s="1">
        <v>8316.6666666666661</v>
      </c>
      <c r="M24" s="1">
        <v>7666.666666666667</v>
      </c>
      <c r="N24" s="1">
        <v>3300</v>
      </c>
      <c r="O24" s="1">
        <v>19333.333333333332</v>
      </c>
    </row>
    <row r="25" spans="1:15" x14ac:dyDescent="0.3">
      <c r="A25" s="2">
        <v>46210</v>
      </c>
      <c r="B25" s="3">
        <v>0.25</v>
      </c>
      <c r="C25">
        <v>228</v>
      </c>
      <c r="D25">
        <v>227</v>
      </c>
      <c r="E25">
        <v>226</v>
      </c>
      <c r="F25" s="1">
        <v>38.333333333333336</v>
      </c>
      <c r="G25" s="1">
        <v>31</v>
      </c>
      <c r="H25" s="1">
        <v>14.916666666666666</v>
      </c>
      <c r="I25" s="1">
        <v>-0.95909999999999995</v>
      </c>
      <c r="J25" s="1">
        <v>-0.9627</v>
      </c>
      <c r="K25" s="1">
        <v>0.97929999999999995</v>
      </c>
      <c r="L25" s="1">
        <v>8333.3333333333339</v>
      </c>
      <c r="M25" s="1">
        <v>6733.333333333333</v>
      </c>
      <c r="N25" s="1">
        <v>3300</v>
      </c>
      <c r="O25" s="1">
        <v>18333.333333333332</v>
      </c>
    </row>
    <row r="26" spans="1:15" x14ac:dyDescent="0.3">
      <c r="A26" s="2">
        <v>46210</v>
      </c>
      <c r="B26" s="3">
        <v>0.26041666666666669</v>
      </c>
      <c r="C26">
        <v>229</v>
      </c>
      <c r="D26">
        <v>228</v>
      </c>
      <c r="E26">
        <v>227</v>
      </c>
      <c r="F26" s="1">
        <v>37.833333333333336</v>
      </c>
      <c r="G26" s="1">
        <v>34.5</v>
      </c>
      <c r="H26" s="1">
        <v>14.883333333333333</v>
      </c>
      <c r="I26" s="1">
        <v>-0.9577</v>
      </c>
      <c r="J26" s="1">
        <v>-0.97330000000000005</v>
      </c>
      <c r="K26" s="1">
        <v>0.97909999999999997</v>
      </c>
      <c r="L26" s="1">
        <v>8266.6666666666661</v>
      </c>
      <c r="M26" s="1">
        <v>7666.666666666667</v>
      </c>
      <c r="N26" s="1">
        <v>3300</v>
      </c>
      <c r="O26" s="1">
        <v>19166.666666666668</v>
      </c>
    </row>
    <row r="27" spans="1:15" x14ac:dyDescent="0.3">
      <c r="A27" s="2">
        <v>46210</v>
      </c>
      <c r="B27" s="3">
        <v>0.27083333333333331</v>
      </c>
      <c r="C27">
        <v>229</v>
      </c>
      <c r="D27">
        <v>229</v>
      </c>
      <c r="E27">
        <v>228</v>
      </c>
      <c r="F27" s="1">
        <v>37.166666666666664</v>
      </c>
      <c r="G27" s="1">
        <v>34.5</v>
      </c>
      <c r="H27" s="1">
        <v>14.883333333333333</v>
      </c>
      <c r="I27" s="1">
        <v>-0.95520000000000005</v>
      </c>
      <c r="J27" s="1">
        <v>-0.97330000000000005</v>
      </c>
      <c r="K27" s="1">
        <v>0.97750000000000004</v>
      </c>
      <c r="L27" s="1">
        <v>8116.666666666667</v>
      </c>
      <c r="M27" s="1">
        <v>7683.333333333333</v>
      </c>
      <c r="N27" s="1">
        <v>3316.6666666666665</v>
      </c>
      <c r="O27" s="1">
        <v>19166.666666666668</v>
      </c>
    </row>
    <row r="28" spans="1:15" x14ac:dyDescent="0.3">
      <c r="A28" s="2">
        <v>46210</v>
      </c>
      <c r="B28" s="3">
        <v>0.28125</v>
      </c>
      <c r="C28">
        <v>232</v>
      </c>
      <c r="D28">
        <v>231</v>
      </c>
      <c r="E28">
        <v>230</v>
      </c>
      <c r="F28" s="1">
        <v>36.833333333333336</v>
      </c>
      <c r="G28" s="1">
        <v>33.166666666666664</v>
      </c>
      <c r="H28" s="1">
        <v>14.816666666666666</v>
      </c>
      <c r="I28" s="1">
        <v>-0.95509999999999995</v>
      </c>
      <c r="J28" s="1">
        <v>-0.96830000000000005</v>
      </c>
      <c r="K28" s="1">
        <v>0.97599999999999998</v>
      </c>
      <c r="L28" s="1">
        <v>8150</v>
      </c>
      <c r="M28" s="1">
        <v>7416.666666666667</v>
      </c>
      <c r="N28" s="1">
        <v>3333.3333333333335</v>
      </c>
      <c r="O28" s="1">
        <v>18833.333333333332</v>
      </c>
    </row>
    <row r="29" spans="1:15" x14ac:dyDescent="0.3">
      <c r="A29" s="2">
        <v>46210</v>
      </c>
      <c r="B29" s="3">
        <v>0.29166666666666669</v>
      </c>
      <c r="C29">
        <v>235</v>
      </c>
      <c r="D29">
        <v>234</v>
      </c>
      <c r="E29">
        <v>233</v>
      </c>
      <c r="F29" s="1">
        <v>37.333333333333336</v>
      </c>
      <c r="G29" s="1">
        <v>31.666666666666668</v>
      </c>
      <c r="H29" s="1">
        <v>14.7</v>
      </c>
      <c r="I29" s="1">
        <v>-0.95569999999999999</v>
      </c>
      <c r="J29" s="1">
        <v>-0.96209999999999996</v>
      </c>
      <c r="K29" s="1">
        <v>0.97389999999999999</v>
      </c>
      <c r="L29" s="1">
        <v>8366.6666666666661</v>
      </c>
      <c r="M29" s="1">
        <v>7100</v>
      </c>
      <c r="N29" s="1">
        <v>3333.3333333333335</v>
      </c>
      <c r="O29" s="1">
        <v>18833.333333333332</v>
      </c>
    </row>
    <row r="30" spans="1:15" x14ac:dyDescent="0.3">
      <c r="A30" s="2">
        <v>46210</v>
      </c>
      <c r="B30" s="3">
        <v>0.30208333333333331</v>
      </c>
      <c r="C30">
        <v>234</v>
      </c>
      <c r="D30">
        <v>233</v>
      </c>
      <c r="E30">
        <v>232</v>
      </c>
      <c r="F30" s="1">
        <v>38.5</v>
      </c>
      <c r="G30" s="1">
        <v>34.166666666666664</v>
      </c>
      <c r="H30" s="1">
        <v>14.783333333333333</v>
      </c>
      <c r="I30" s="1">
        <v>-0.96120000000000005</v>
      </c>
      <c r="J30" s="1">
        <v>-0.97070000000000001</v>
      </c>
      <c r="K30" s="1">
        <v>0.97430000000000005</v>
      </c>
      <c r="L30" s="1">
        <v>8650</v>
      </c>
      <c r="M30" s="1">
        <v>7716.666666666667</v>
      </c>
      <c r="N30" s="1">
        <v>3350</v>
      </c>
      <c r="O30" s="1">
        <v>19666.666666666668</v>
      </c>
    </row>
    <row r="31" spans="1:15" x14ac:dyDescent="0.3">
      <c r="A31" s="2">
        <v>46210</v>
      </c>
      <c r="B31" s="3">
        <v>0.3125</v>
      </c>
      <c r="C31">
        <v>233</v>
      </c>
      <c r="D31">
        <v>232</v>
      </c>
      <c r="E31">
        <v>231</v>
      </c>
      <c r="F31" s="1">
        <v>36.166666666666664</v>
      </c>
      <c r="G31" s="1">
        <v>32.333333333333336</v>
      </c>
      <c r="H31" s="1">
        <v>14.883333333333333</v>
      </c>
      <c r="I31" s="1">
        <v>-0.95420000000000005</v>
      </c>
      <c r="J31" s="1">
        <v>-0.96479999999999999</v>
      </c>
      <c r="K31" s="1">
        <v>0.9758</v>
      </c>
      <c r="L31" s="1">
        <v>8016.666666666667</v>
      </c>
      <c r="M31" s="1">
        <v>7200</v>
      </c>
      <c r="N31" s="1">
        <v>3350</v>
      </c>
      <c r="O31" s="1">
        <v>18666.666666666668</v>
      </c>
    </row>
    <row r="32" spans="1:15" x14ac:dyDescent="0.3">
      <c r="A32" s="2">
        <v>46210</v>
      </c>
      <c r="B32" s="3">
        <v>0.32291666666666669</v>
      </c>
      <c r="C32">
        <v>234</v>
      </c>
      <c r="D32">
        <v>232</v>
      </c>
      <c r="E32">
        <v>232</v>
      </c>
      <c r="F32" s="1">
        <v>35.666666666666664</v>
      </c>
      <c r="G32" s="1">
        <v>34.333333333333336</v>
      </c>
      <c r="H32" s="1">
        <v>14.883333333333333</v>
      </c>
      <c r="I32" s="1">
        <v>-0.95279999999999998</v>
      </c>
      <c r="J32" s="1">
        <v>-0.97189999999999999</v>
      </c>
      <c r="K32" s="1">
        <v>0.97570000000000001</v>
      </c>
      <c r="L32" s="1">
        <v>7950</v>
      </c>
      <c r="M32" s="1">
        <v>7766.666666666667</v>
      </c>
      <c r="N32" s="1">
        <v>3366.6666666666665</v>
      </c>
      <c r="O32" s="1">
        <v>19166.666666666668</v>
      </c>
    </row>
    <row r="33" spans="1:15" x14ac:dyDescent="0.3">
      <c r="A33" s="2">
        <v>46210</v>
      </c>
      <c r="B33" s="3">
        <v>0.33333333333333331</v>
      </c>
      <c r="C33">
        <v>234</v>
      </c>
      <c r="D33">
        <v>232</v>
      </c>
      <c r="E33">
        <v>232</v>
      </c>
      <c r="F33" s="1">
        <v>41.333333333333336</v>
      </c>
      <c r="G33" s="1">
        <v>35.333333333333336</v>
      </c>
      <c r="H33" s="1">
        <v>17.333333333333332</v>
      </c>
      <c r="I33" s="1">
        <v>-0.96879999999999999</v>
      </c>
      <c r="J33" s="1">
        <v>-0.97389999999999999</v>
      </c>
      <c r="K33" s="1">
        <v>0.98050000000000004</v>
      </c>
      <c r="L33" s="1">
        <v>9316.6666666666661</v>
      </c>
      <c r="M33" s="1">
        <v>7983.333333333333</v>
      </c>
      <c r="N33" s="1">
        <v>3933.3333333333335</v>
      </c>
      <c r="O33" s="1">
        <v>21166.666666666668</v>
      </c>
    </row>
    <row r="34" spans="1:15" x14ac:dyDescent="0.3">
      <c r="A34" s="2">
        <v>46210</v>
      </c>
      <c r="B34" s="3">
        <v>0.34375</v>
      </c>
      <c r="C34">
        <v>233</v>
      </c>
      <c r="D34">
        <v>232</v>
      </c>
      <c r="E34">
        <v>232</v>
      </c>
      <c r="F34" s="1">
        <v>44.833333333333336</v>
      </c>
      <c r="G34" s="1">
        <v>36</v>
      </c>
      <c r="H34" s="1">
        <v>19.166666666666668</v>
      </c>
      <c r="I34" s="1">
        <v>-0.97770000000000001</v>
      </c>
      <c r="J34" s="1">
        <v>-0.97519999999999996</v>
      </c>
      <c r="K34" s="1">
        <v>0.98480000000000001</v>
      </c>
      <c r="L34" s="1">
        <v>10233.333333333334</v>
      </c>
      <c r="M34" s="1">
        <v>8133.333333333333</v>
      </c>
      <c r="N34" s="1">
        <v>4350</v>
      </c>
      <c r="O34" s="1">
        <v>22666.666666666668</v>
      </c>
    </row>
    <row r="35" spans="1:15" x14ac:dyDescent="0.3">
      <c r="A35" s="2">
        <v>46210</v>
      </c>
      <c r="B35" s="3">
        <v>0.35416666666666669</v>
      </c>
      <c r="C35">
        <v>231</v>
      </c>
      <c r="D35">
        <v>229</v>
      </c>
      <c r="E35">
        <v>229</v>
      </c>
      <c r="F35" s="1">
        <v>46</v>
      </c>
      <c r="G35" s="1">
        <v>37</v>
      </c>
      <c r="H35" s="1">
        <v>18.166666666666668</v>
      </c>
      <c r="I35" s="1">
        <v>-0.97960000000000003</v>
      </c>
      <c r="J35" s="1">
        <v>-0.97809999999999997</v>
      </c>
      <c r="K35" s="1">
        <v>0.98529999999999995</v>
      </c>
      <c r="L35" s="1">
        <v>10383.333333333334</v>
      </c>
      <c r="M35" s="1">
        <v>8300</v>
      </c>
      <c r="N35" s="1">
        <v>4083.3333333333335</v>
      </c>
      <c r="O35" s="1">
        <v>22833.333333333332</v>
      </c>
    </row>
    <row r="36" spans="1:15" x14ac:dyDescent="0.3">
      <c r="A36" s="2">
        <v>46210</v>
      </c>
      <c r="B36" s="3">
        <v>0.36458333333333331</v>
      </c>
      <c r="C36">
        <v>229</v>
      </c>
      <c r="D36">
        <v>227</v>
      </c>
      <c r="E36">
        <v>227</v>
      </c>
      <c r="F36" s="1">
        <v>47.166666666666664</v>
      </c>
      <c r="G36" s="1">
        <v>37.833333333333336</v>
      </c>
      <c r="H36" s="1">
        <v>17</v>
      </c>
      <c r="I36" s="1">
        <v>-0.98040000000000005</v>
      </c>
      <c r="J36" s="1">
        <v>-0.98009999999999997</v>
      </c>
      <c r="K36" s="1">
        <v>0.98980000000000001</v>
      </c>
      <c r="L36" s="1">
        <v>10550</v>
      </c>
      <c r="M36" s="1">
        <v>8433.3333333333339</v>
      </c>
      <c r="N36" s="1">
        <v>3816.6666666666665</v>
      </c>
      <c r="O36" s="1">
        <v>22833.333333333332</v>
      </c>
    </row>
    <row r="37" spans="1:15" x14ac:dyDescent="0.3">
      <c r="A37" s="2">
        <v>46210</v>
      </c>
      <c r="B37" s="3">
        <v>0.375</v>
      </c>
      <c r="C37">
        <v>228</v>
      </c>
      <c r="D37">
        <v>227</v>
      </c>
      <c r="E37">
        <v>227</v>
      </c>
      <c r="F37" s="1">
        <v>50.333333333333336</v>
      </c>
      <c r="G37" s="1">
        <v>38.833333333333336</v>
      </c>
      <c r="H37" s="1">
        <v>20.833333333333332</v>
      </c>
      <c r="I37" s="1">
        <v>-0.98299999999999998</v>
      </c>
      <c r="J37" s="1">
        <v>-0.98180000000000001</v>
      </c>
      <c r="K37" s="1">
        <v>0.99460000000000004</v>
      </c>
      <c r="L37" s="1">
        <v>11266.666666666666</v>
      </c>
      <c r="M37" s="1">
        <v>8650</v>
      </c>
      <c r="N37" s="1">
        <v>4633.333333333333</v>
      </c>
      <c r="O37" s="1">
        <v>24500</v>
      </c>
    </row>
    <row r="38" spans="1:15" x14ac:dyDescent="0.3">
      <c r="A38" s="2">
        <v>46210</v>
      </c>
      <c r="B38" s="3">
        <v>0.38541666666666669</v>
      </c>
      <c r="C38">
        <v>227</v>
      </c>
      <c r="D38">
        <v>226</v>
      </c>
      <c r="E38">
        <v>226</v>
      </c>
      <c r="F38" s="1">
        <v>57.666666666666664</v>
      </c>
      <c r="G38" s="1">
        <v>41.166666666666664</v>
      </c>
      <c r="H38" s="1">
        <v>26.166666666666668</v>
      </c>
      <c r="I38" s="1">
        <v>-0.98899999999999999</v>
      </c>
      <c r="J38" s="1">
        <v>-0.98350000000000004</v>
      </c>
      <c r="K38" s="1">
        <v>-0.99970000000000003</v>
      </c>
      <c r="L38" s="1">
        <v>12950</v>
      </c>
      <c r="M38" s="1">
        <v>9150</v>
      </c>
      <c r="N38" s="1">
        <v>5850</v>
      </c>
      <c r="O38" s="1">
        <v>28000</v>
      </c>
    </row>
    <row r="39" spans="1:15" x14ac:dyDescent="0.3">
      <c r="A39" s="2">
        <v>46210</v>
      </c>
      <c r="B39" s="3">
        <v>0.39583333333333331</v>
      </c>
      <c r="C39">
        <v>228</v>
      </c>
      <c r="D39">
        <v>227</v>
      </c>
      <c r="E39">
        <v>226</v>
      </c>
      <c r="F39" s="1">
        <v>59.166666666666664</v>
      </c>
      <c r="G39" s="1">
        <v>43.333333333333336</v>
      </c>
      <c r="H39" s="1">
        <v>26</v>
      </c>
      <c r="I39" s="1">
        <v>-0.98980000000000001</v>
      </c>
      <c r="J39" s="1">
        <v>-0.98409999999999997</v>
      </c>
      <c r="K39" s="1">
        <v>0.99380000000000002</v>
      </c>
      <c r="L39" s="1">
        <v>13333.333333333334</v>
      </c>
      <c r="M39" s="1">
        <v>9633.3333333333339</v>
      </c>
      <c r="N39" s="1">
        <v>5816.666666666667</v>
      </c>
      <c r="O39" s="1">
        <v>28833.333333333332</v>
      </c>
    </row>
    <row r="40" spans="1:15" x14ac:dyDescent="0.3">
      <c r="A40" s="2">
        <v>46210</v>
      </c>
      <c r="B40" s="3">
        <v>0.40625</v>
      </c>
      <c r="C40">
        <v>228</v>
      </c>
      <c r="D40">
        <v>227</v>
      </c>
      <c r="E40">
        <v>227</v>
      </c>
      <c r="F40" s="1">
        <v>59.166666666666664</v>
      </c>
      <c r="G40" s="1">
        <v>44.333333333333336</v>
      </c>
      <c r="H40" s="1">
        <v>25.666666666666668</v>
      </c>
      <c r="I40" s="1">
        <v>-0.99</v>
      </c>
      <c r="J40" s="1">
        <v>-0.98550000000000004</v>
      </c>
      <c r="K40" s="1">
        <v>0.99790000000000001</v>
      </c>
      <c r="L40" s="1">
        <v>13383.333333333334</v>
      </c>
      <c r="M40" s="1">
        <v>9900</v>
      </c>
      <c r="N40" s="1">
        <v>5750</v>
      </c>
      <c r="O40" s="1">
        <v>29000</v>
      </c>
    </row>
    <row r="41" spans="1:15" x14ac:dyDescent="0.3">
      <c r="A41" s="2">
        <v>46210</v>
      </c>
      <c r="B41" s="3">
        <v>0.41666666666666669</v>
      </c>
      <c r="C41">
        <v>228</v>
      </c>
      <c r="D41">
        <v>227</v>
      </c>
      <c r="E41">
        <v>227</v>
      </c>
      <c r="F41" s="1">
        <v>61.666666666666664</v>
      </c>
      <c r="G41" s="1">
        <v>45</v>
      </c>
      <c r="H41" s="1">
        <v>25.166666666666668</v>
      </c>
      <c r="I41" s="1">
        <v>-0.99060000000000004</v>
      </c>
      <c r="J41" s="1">
        <v>-0.98640000000000005</v>
      </c>
      <c r="K41" s="1">
        <v>-0.99109999999999998</v>
      </c>
      <c r="L41" s="1">
        <v>13900</v>
      </c>
      <c r="M41" s="1">
        <v>10050</v>
      </c>
      <c r="N41" s="1">
        <v>5650</v>
      </c>
      <c r="O41" s="1">
        <v>29666.666666666668</v>
      </c>
    </row>
    <row r="42" spans="1:15" x14ac:dyDescent="0.3">
      <c r="A42" s="2">
        <v>46210</v>
      </c>
      <c r="B42" s="3">
        <v>0.42708333333333331</v>
      </c>
      <c r="C42">
        <v>229</v>
      </c>
      <c r="D42">
        <v>227</v>
      </c>
      <c r="E42">
        <v>227</v>
      </c>
      <c r="F42" s="1">
        <v>60.333333333333336</v>
      </c>
      <c r="G42" s="1">
        <v>49.833333333333336</v>
      </c>
      <c r="H42" s="1">
        <v>26.333333333333332</v>
      </c>
      <c r="I42" s="1">
        <v>-0.99029999999999996</v>
      </c>
      <c r="J42" s="1">
        <v>-0.98960000000000004</v>
      </c>
      <c r="K42" s="1">
        <v>-0.99909999999999999</v>
      </c>
      <c r="L42" s="1">
        <v>13666.666666666666</v>
      </c>
      <c r="M42" s="1">
        <v>11216.666666666666</v>
      </c>
      <c r="N42" s="1">
        <v>5950</v>
      </c>
      <c r="O42" s="1">
        <v>30833.333333333332</v>
      </c>
    </row>
    <row r="43" spans="1:15" x14ac:dyDescent="0.3">
      <c r="A43" s="2">
        <v>46210</v>
      </c>
      <c r="B43" s="3">
        <v>0.4375</v>
      </c>
      <c r="C43">
        <v>228</v>
      </c>
      <c r="D43">
        <v>227</v>
      </c>
      <c r="E43">
        <v>227</v>
      </c>
      <c r="F43" s="1">
        <v>66.166666666666671</v>
      </c>
      <c r="G43" s="1">
        <v>47.333333333333336</v>
      </c>
      <c r="H43" s="1">
        <v>27.666666666666668</v>
      </c>
      <c r="I43" s="1">
        <v>-0.99399999999999999</v>
      </c>
      <c r="J43" s="1">
        <v>-0.98799999999999999</v>
      </c>
      <c r="K43" s="1">
        <v>0.99939999999999996</v>
      </c>
      <c r="L43" s="1">
        <v>14933.333333333334</v>
      </c>
      <c r="M43" s="1">
        <v>10616.666666666666</v>
      </c>
      <c r="N43" s="1">
        <v>6200</v>
      </c>
      <c r="O43" s="1">
        <v>31833.333333333332</v>
      </c>
    </row>
    <row r="44" spans="1:15" x14ac:dyDescent="0.3">
      <c r="A44" s="2">
        <v>46210</v>
      </c>
      <c r="B44" s="3">
        <v>0.44791666666666669</v>
      </c>
      <c r="C44">
        <v>228</v>
      </c>
      <c r="D44">
        <v>227</v>
      </c>
      <c r="E44">
        <v>227</v>
      </c>
      <c r="F44" s="1">
        <v>67.833333333333329</v>
      </c>
      <c r="G44" s="1">
        <v>47.333333333333336</v>
      </c>
      <c r="H44" s="1">
        <v>28.333333333333332</v>
      </c>
      <c r="I44" s="1">
        <v>0.99209999999999998</v>
      </c>
      <c r="J44" s="1">
        <v>-0.98809999999999998</v>
      </c>
      <c r="K44" s="1">
        <v>0.99550000000000005</v>
      </c>
      <c r="L44" s="1">
        <v>15283.333333333334</v>
      </c>
      <c r="M44" s="1">
        <v>10600</v>
      </c>
      <c r="N44" s="1">
        <v>6350</v>
      </c>
      <c r="O44" s="1">
        <v>32166.666666666668</v>
      </c>
    </row>
    <row r="45" spans="1:15" x14ac:dyDescent="0.3">
      <c r="A45" s="2">
        <v>46210</v>
      </c>
      <c r="B45" s="3">
        <v>0.45833333333333331</v>
      </c>
      <c r="C45">
        <v>227</v>
      </c>
      <c r="D45">
        <v>226</v>
      </c>
      <c r="E45">
        <v>226</v>
      </c>
      <c r="F45" s="1">
        <v>71</v>
      </c>
      <c r="G45" s="1">
        <v>51.666666666666664</v>
      </c>
      <c r="H45" s="1">
        <v>26.166666666666668</v>
      </c>
      <c r="I45" s="1">
        <v>0.99270000000000003</v>
      </c>
      <c r="J45" s="1">
        <v>-0.98970000000000002</v>
      </c>
      <c r="K45" s="1">
        <v>-0.9919</v>
      </c>
      <c r="L45" s="1">
        <v>15950</v>
      </c>
      <c r="M45" s="1">
        <v>11516.666666666666</v>
      </c>
      <c r="N45" s="1">
        <v>5833.333333333333</v>
      </c>
      <c r="O45" s="1">
        <v>33333.333333333336</v>
      </c>
    </row>
    <row r="46" spans="1:15" x14ac:dyDescent="0.3">
      <c r="A46" s="2">
        <v>46210</v>
      </c>
      <c r="B46" s="3">
        <v>0.46875</v>
      </c>
      <c r="C46">
        <v>227</v>
      </c>
      <c r="D46">
        <v>226</v>
      </c>
      <c r="E46">
        <v>227</v>
      </c>
      <c r="F46" s="1">
        <v>73</v>
      </c>
      <c r="G46" s="1">
        <v>54.166666666666664</v>
      </c>
      <c r="H46" s="1">
        <v>21.5</v>
      </c>
      <c r="I46" s="1">
        <v>0.99260000000000004</v>
      </c>
      <c r="J46" s="1">
        <v>0.99419999999999997</v>
      </c>
      <c r="K46" s="1">
        <v>0.9899</v>
      </c>
      <c r="L46" s="1">
        <v>16450</v>
      </c>
      <c r="M46" s="1">
        <v>12150</v>
      </c>
      <c r="N46" s="1">
        <v>4816.666666666667</v>
      </c>
      <c r="O46" s="1">
        <v>33333.333333333336</v>
      </c>
    </row>
    <row r="47" spans="1:15" x14ac:dyDescent="0.3">
      <c r="A47" s="2">
        <v>46210</v>
      </c>
      <c r="B47" s="3">
        <v>0.47916666666666669</v>
      </c>
      <c r="C47">
        <v>227</v>
      </c>
      <c r="D47">
        <v>227</v>
      </c>
      <c r="E47">
        <v>227</v>
      </c>
      <c r="F47" s="1">
        <v>73</v>
      </c>
      <c r="G47" s="1">
        <v>48.5</v>
      </c>
      <c r="H47" s="1">
        <v>21.333333333333332</v>
      </c>
      <c r="I47" s="1">
        <v>0.9929</v>
      </c>
      <c r="J47" s="1">
        <v>-0.98860000000000003</v>
      </c>
      <c r="K47" s="1">
        <v>0.98950000000000005</v>
      </c>
      <c r="L47" s="1">
        <v>16450</v>
      </c>
      <c r="M47" s="1">
        <v>10850</v>
      </c>
      <c r="N47" s="1">
        <v>4766.666666666667</v>
      </c>
      <c r="O47" s="1">
        <v>32000</v>
      </c>
    </row>
    <row r="48" spans="1:15" x14ac:dyDescent="0.3">
      <c r="A48" s="2">
        <v>46210</v>
      </c>
      <c r="B48" s="3">
        <v>0.48958333333333331</v>
      </c>
      <c r="C48">
        <v>228</v>
      </c>
      <c r="D48">
        <v>227</v>
      </c>
      <c r="E48">
        <v>227</v>
      </c>
      <c r="F48" s="1">
        <v>69.666666666666671</v>
      </c>
      <c r="G48" s="1">
        <v>44.5</v>
      </c>
      <c r="H48" s="1">
        <v>20.666666666666668</v>
      </c>
      <c r="I48" s="1">
        <v>0.99239999999999995</v>
      </c>
      <c r="J48" s="1">
        <v>-0.98519999999999996</v>
      </c>
      <c r="K48" s="1">
        <v>0.9879</v>
      </c>
      <c r="L48" s="1">
        <v>15683.333333333334</v>
      </c>
      <c r="M48" s="1">
        <v>9916.6666666666661</v>
      </c>
      <c r="N48" s="1">
        <v>4633.333333333333</v>
      </c>
      <c r="O48" s="1">
        <v>30166.666666666668</v>
      </c>
    </row>
    <row r="49" spans="1:15" x14ac:dyDescent="0.3">
      <c r="A49" s="2">
        <v>46210</v>
      </c>
      <c r="B49" s="3">
        <v>0.5</v>
      </c>
      <c r="C49">
        <v>229</v>
      </c>
      <c r="D49">
        <v>228</v>
      </c>
      <c r="E49">
        <v>228</v>
      </c>
      <c r="F49" s="1">
        <v>63.666666666666664</v>
      </c>
      <c r="G49" s="1">
        <v>41.5</v>
      </c>
      <c r="H49" s="1">
        <v>21.166666666666668</v>
      </c>
      <c r="I49" s="1">
        <v>0.99039999999999995</v>
      </c>
      <c r="J49" s="1">
        <v>-0.98319999999999996</v>
      </c>
      <c r="K49" s="1">
        <v>0.98839999999999995</v>
      </c>
      <c r="L49" s="1">
        <v>14400</v>
      </c>
      <c r="M49" s="1">
        <v>9300</v>
      </c>
      <c r="N49" s="1">
        <v>4750</v>
      </c>
      <c r="O49" s="1">
        <v>28500</v>
      </c>
    </row>
    <row r="50" spans="1:15" x14ac:dyDescent="0.3">
      <c r="A50" s="2">
        <v>46180</v>
      </c>
      <c r="B50" s="3">
        <v>0.51041666666666663</v>
      </c>
      <c r="C50">
        <v>235</v>
      </c>
      <c r="D50">
        <v>233</v>
      </c>
      <c r="E50">
        <v>234</v>
      </c>
      <c r="F50" s="1">
        <v>64.666666666666671</v>
      </c>
      <c r="G50" s="1">
        <v>55</v>
      </c>
      <c r="H50" s="1">
        <v>16.466666666666665</v>
      </c>
      <c r="I50" s="1">
        <v>0.99060000000000004</v>
      </c>
      <c r="J50" s="1">
        <v>0.99070000000000003</v>
      </c>
      <c r="K50" s="1">
        <v>0.98729999999999996</v>
      </c>
      <c r="L50" s="1">
        <v>15016.666666666666</v>
      </c>
      <c r="M50" s="1">
        <v>12716.666666666666</v>
      </c>
      <c r="N50" s="1">
        <v>3800</v>
      </c>
      <c r="O50" s="1">
        <v>31500</v>
      </c>
    </row>
    <row r="51" spans="1:15" x14ac:dyDescent="0.3">
      <c r="A51" s="2">
        <v>46180</v>
      </c>
      <c r="B51" s="3">
        <v>0.52083333333333337</v>
      </c>
      <c r="C51">
        <v>235</v>
      </c>
      <c r="D51">
        <v>233</v>
      </c>
      <c r="E51">
        <v>234</v>
      </c>
      <c r="F51" s="1">
        <v>63.166666666666664</v>
      </c>
      <c r="G51" s="1">
        <v>54.166666666666664</v>
      </c>
      <c r="H51" s="1">
        <v>17.166666666666668</v>
      </c>
      <c r="I51" s="1">
        <v>0.9899</v>
      </c>
      <c r="J51" s="1">
        <v>0.99009999999999998</v>
      </c>
      <c r="K51" s="1">
        <v>0.98419999999999996</v>
      </c>
      <c r="L51" s="1">
        <v>14650</v>
      </c>
      <c r="M51" s="1">
        <v>12483.333333333334</v>
      </c>
      <c r="N51" s="1">
        <v>3950</v>
      </c>
      <c r="O51" s="1">
        <v>31166.666666666668</v>
      </c>
    </row>
    <row r="52" spans="1:15" x14ac:dyDescent="0.3">
      <c r="A52" s="2">
        <v>46180</v>
      </c>
      <c r="B52" s="3">
        <v>0.53125</v>
      </c>
      <c r="C52">
        <v>235</v>
      </c>
      <c r="D52">
        <v>234</v>
      </c>
      <c r="E52">
        <v>235</v>
      </c>
      <c r="F52" s="1">
        <v>56.333333333333336</v>
      </c>
      <c r="G52" s="1">
        <v>50.833333333333336</v>
      </c>
      <c r="H52" s="1">
        <v>17.5</v>
      </c>
      <c r="I52" s="1">
        <v>0.98699999999999999</v>
      </c>
      <c r="J52" s="1">
        <v>0.99280000000000002</v>
      </c>
      <c r="K52" s="1">
        <v>0.98629999999999995</v>
      </c>
      <c r="L52" s="1">
        <v>13083.333333333334</v>
      </c>
      <c r="M52" s="1">
        <v>11733.333333333334</v>
      </c>
      <c r="N52" s="1">
        <v>4066.6666666666665</v>
      </c>
      <c r="O52" s="1">
        <v>28833.333333333299</v>
      </c>
    </row>
    <row r="53" spans="1:15" x14ac:dyDescent="0.3">
      <c r="A53" s="2">
        <v>46180</v>
      </c>
      <c r="B53" s="3">
        <v>0.54166666666666663</v>
      </c>
      <c r="C53">
        <v>235</v>
      </c>
      <c r="D53">
        <v>234</v>
      </c>
      <c r="E53">
        <v>234</v>
      </c>
      <c r="F53" s="1">
        <v>59.833333333333336</v>
      </c>
      <c r="G53" s="1">
        <v>48.833333333333336</v>
      </c>
      <c r="H53" s="1">
        <v>17</v>
      </c>
      <c r="I53" s="1">
        <v>0.98919999999999997</v>
      </c>
      <c r="J53" s="1">
        <v>-0.99609999999999999</v>
      </c>
      <c r="K53" s="1">
        <v>0.98540000000000005</v>
      </c>
      <c r="L53" s="1">
        <v>13850</v>
      </c>
      <c r="M53" s="1">
        <v>11266.666666666666</v>
      </c>
      <c r="N53" s="1">
        <v>3916.6666666666665</v>
      </c>
      <c r="O53" s="1">
        <v>29000</v>
      </c>
    </row>
    <row r="54" spans="1:15" x14ac:dyDescent="0.3">
      <c r="A54" s="2">
        <v>46180</v>
      </c>
      <c r="B54" s="3">
        <v>0.55208333333333337</v>
      </c>
      <c r="C54">
        <v>235</v>
      </c>
      <c r="D54">
        <v>233</v>
      </c>
      <c r="E54">
        <v>234</v>
      </c>
      <c r="F54" s="1">
        <v>57.333333333333336</v>
      </c>
      <c r="G54" s="1">
        <v>48.833333333333336</v>
      </c>
      <c r="H54" s="1">
        <v>16.833333333333332</v>
      </c>
      <c r="I54" s="1">
        <v>0.98799999999999999</v>
      </c>
      <c r="J54" s="1">
        <v>-0.99490000000000001</v>
      </c>
      <c r="K54" s="1">
        <v>0.98750000000000004</v>
      </c>
      <c r="L54" s="1">
        <v>13266.666666666666</v>
      </c>
      <c r="M54" s="1">
        <v>11233.333333333334</v>
      </c>
      <c r="N54" s="1">
        <v>3883.3333333333335</v>
      </c>
      <c r="O54" s="1">
        <v>28333.333333333332</v>
      </c>
    </row>
    <row r="55" spans="1:15" x14ac:dyDescent="0.3">
      <c r="A55" s="2">
        <v>46180</v>
      </c>
      <c r="B55" s="3">
        <v>0.5625</v>
      </c>
      <c r="C55">
        <v>232</v>
      </c>
      <c r="D55">
        <v>231</v>
      </c>
      <c r="E55">
        <v>231</v>
      </c>
      <c r="F55" s="1">
        <v>63.333333333333336</v>
      </c>
      <c r="G55" s="1">
        <v>48</v>
      </c>
      <c r="H55" s="1">
        <v>17.5</v>
      </c>
      <c r="I55" s="1">
        <v>0.99060000000000004</v>
      </c>
      <c r="J55" s="1">
        <v>-0.98909999999999998</v>
      </c>
      <c r="K55" s="1">
        <v>-0.99829999999999997</v>
      </c>
      <c r="L55" s="1">
        <v>14483.333333333334</v>
      </c>
      <c r="M55" s="1">
        <v>10916.666666666666</v>
      </c>
      <c r="N55" s="1">
        <v>3966.6666666666665</v>
      </c>
      <c r="O55" s="1">
        <v>29333.333333333332</v>
      </c>
    </row>
    <row r="56" spans="1:15" x14ac:dyDescent="0.3">
      <c r="A56" s="2">
        <v>46180</v>
      </c>
      <c r="B56" s="3">
        <v>0.57291666666666663</v>
      </c>
      <c r="C56">
        <v>231</v>
      </c>
      <c r="D56">
        <v>230</v>
      </c>
      <c r="E56">
        <v>231</v>
      </c>
      <c r="F56" s="1">
        <v>71</v>
      </c>
      <c r="G56" s="1">
        <v>48.333333333333336</v>
      </c>
      <c r="H56" s="1">
        <v>12.866666666666667</v>
      </c>
      <c r="I56" s="1">
        <v>0.99250000000000005</v>
      </c>
      <c r="J56" s="1">
        <v>-0.99360000000000004</v>
      </c>
      <c r="K56" s="1">
        <v>-0.95960000000000001</v>
      </c>
      <c r="L56" s="1">
        <v>16233.333333333334</v>
      </c>
      <c r="M56" s="1">
        <v>10916.666666666666</v>
      </c>
      <c r="N56" s="1">
        <v>2733.3333333333335</v>
      </c>
      <c r="O56" s="1">
        <v>29833.333333333332</v>
      </c>
    </row>
    <row r="57" spans="1:15" x14ac:dyDescent="0.3">
      <c r="A57" s="2">
        <v>46180</v>
      </c>
      <c r="B57" s="3">
        <v>0.58333333333333337</v>
      </c>
      <c r="C57">
        <v>230</v>
      </c>
      <c r="D57">
        <v>230</v>
      </c>
      <c r="E57">
        <v>230</v>
      </c>
      <c r="F57" s="1">
        <v>75.5</v>
      </c>
      <c r="G57" s="1">
        <v>50.833333333333336</v>
      </c>
      <c r="H57" s="1">
        <v>9.5</v>
      </c>
      <c r="I57" s="1">
        <v>0.99299999999999999</v>
      </c>
      <c r="J57" s="1">
        <v>-0.98980000000000001</v>
      </c>
      <c r="K57" s="1">
        <v>-0.93389999999999995</v>
      </c>
      <c r="L57" s="1">
        <v>17166.666666666668</v>
      </c>
      <c r="M57" s="1">
        <v>11566.666666666666</v>
      </c>
      <c r="N57" s="1">
        <v>2050</v>
      </c>
      <c r="O57" s="1">
        <v>30833.333333333332</v>
      </c>
    </row>
    <row r="58" spans="1:15" x14ac:dyDescent="0.3">
      <c r="A58" s="2">
        <v>46180</v>
      </c>
      <c r="B58" s="3">
        <v>0.59375</v>
      </c>
      <c r="C58">
        <v>229</v>
      </c>
      <c r="D58">
        <v>229</v>
      </c>
      <c r="E58">
        <v>229</v>
      </c>
      <c r="F58" s="1">
        <v>75.5</v>
      </c>
      <c r="G58" s="1">
        <v>47.833333333333336</v>
      </c>
      <c r="H58" s="1">
        <v>9.4499999999999993</v>
      </c>
      <c r="I58" s="1">
        <v>0.99299999999999999</v>
      </c>
      <c r="J58" s="1">
        <v>-0.98780000000000001</v>
      </c>
      <c r="K58" s="1">
        <v>-0.93420000000000003</v>
      </c>
      <c r="L58" s="1">
        <v>17150</v>
      </c>
      <c r="M58" s="1">
        <v>10766.666666666666</v>
      </c>
      <c r="N58" s="1">
        <v>2016.6666666666667</v>
      </c>
      <c r="O58" s="1">
        <v>30000</v>
      </c>
    </row>
    <row r="59" spans="1:15" x14ac:dyDescent="0.3">
      <c r="A59" s="2">
        <v>46180</v>
      </c>
      <c r="B59" s="3">
        <v>0.60416666666666663</v>
      </c>
      <c r="C59">
        <v>228</v>
      </c>
      <c r="D59">
        <v>228</v>
      </c>
      <c r="E59">
        <v>228</v>
      </c>
      <c r="F59" s="1">
        <v>82.166666666666671</v>
      </c>
      <c r="G59" s="1">
        <v>52.166666666666664</v>
      </c>
      <c r="H59" s="1">
        <v>9.25</v>
      </c>
      <c r="I59" s="1">
        <v>0.99439999999999995</v>
      </c>
      <c r="J59" s="1">
        <v>-0.99680000000000002</v>
      </c>
      <c r="K59" s="1">
        <v>-0.92949999999999999</v>
      </c>
      <c r="L59" s="1">
        <v>18616.666666666668</v>
      </c>
      <c r="M59" s="1">
        <v>11716.666666666666</v>
      </c>
      <c r="N59" s="1">
        <v>1966.6666666666667</v>
      </c>
      <c r="O59" s="1">
        <v>32333.333333333332</v>
      </c>
    </row>
    <row r="60" spans="1:15" x14ac:dyDescent="0.3">
      <c r="A60" s="2">
        <v>46180</v>
      </c>
      <c r="B60" s="3">
        <v>0.61458333333333337</v>
      </c>
      <c r="C60">
        <v>226</v>
      </c>
      <c r="D60">
        <v>226</v>
      </c>
      <c r="E60">
        <v>226</v>
      </c>
      <c r="F60" s="1">
        <v>81.833333333333329</v>
      </c>
      <c r="G60" s="1">
        <v>51.333333333333336</v>
      </c>
      <c r="H60" s="1">
        <v>12.2</v>
      </c>
      <c r="I60" s="1">
        <v>0.99480000000000002</v>
      </c>
      <c r="J60" s="1">
        <v>-0.99460000000000004</v>
      </c>
      <c r="K60" s="1">
        <v>-0.94879999999999998</v>
      </c>
      <c r="L60" s="1">
        <v>18366.666666666668</v>
      </c>
      <c r="M60" s="1">
        <v>11450</v>
      </c>
      <c r="N60" s="1">
        <v>2500</v>
      </c>
      <c r="O60" s="1">
        <v>32333.333333333332</v>
      </c>
    </row>
    <row r="61" spans="1:15" x14ac:dyDescent="0.3">
      <c r="A61" s="2">
        <v>46180</v>
      </c>
      <c r="B61" s="3">
        <v>0.625</v>
      </c>
      <c r="C61">
        <v>227</v>
      </c>
      <c r="D61">
        <v>226</v>
      </c>
      <c r="E61">
        <v>227</v>
      </c>
      <c r="F61" s="1">
        <v>81.333333333333329</v>
      </c>
      <c r="G61" s="1">
        <v>47.833333333333336</v>
      </c>
      <c r="H61" s="1">
        <v>8.5500000000000007</v>
      </c>
      <c r="I61" s="1">
        <v>0.99450000000000005</v>
      </c>
      <c r="J61" s="1">
        <v>-0.98809999999999998</v>
      </c>
      <c r="K61" s="1">
        <v>-0.91320000000000001</v>
      </c>
      <c r="L61" s="1">
        <v>18316.666666666668</v>
      </c>
      <c r="M61" s="1">
        <v>10666.666666666666</v>
      </c>
      <c r="N61" s="1">
        <v>1766.6666666666667</v>
      </c>
      <c r="O61" s="1">
        <v>30833.333333333332</v>
      </c>
    </row>
    <row r="62" spans="1:15" x14ac:dyDescent="0.3">
      <c r="A62" s="2">
        <v>46180</v>
      </c>
      <c r="B62" s="3">
        <v>0.63541666666666663</v>
      </c>
      <c r="C62">
        <v>228</v>
      </c>
      <c r="D62">
        <v>228</v>
      </c>
      <c r="E62">
        <v>228</v>
      </c>
      <c r="F62" s="1">
        <v>82.666666666666671</v>
      </c>
      <c r="G62" s="1">
        <v>47.666666666666664</v>
      </c>
      <c r="H62" s="1">
        <v>8.4499999999999993</v>
      </c>
      <c r="I62" s="1">
        <v>0.99439999999999995</v>
      </c>
      <c r="J62" s="1">
        <v>-0.98780000000000001</v>
      </c>
      <c r="K62" s="1">
        <v>-0.90949999999999998</v>
      </c>
      <c r="L62" s="1">
        <v>18716.666666666668</v>
      </c>
      <c r="M62" s="1">
        <v>10700</v>
      </c>
      <c r="N62" s="1">
        <v>1750</v>
      </c>
      <c r="O62" s="1">
        <v>31166.666666666668</v>
      </c>
    </row>
    <row r="63" spans="1:15" x14ac:dyDescent="0.3">
      <c r="A63" s="2">
        <v>46180</v>
      </c>
      <c r="B63" s="3">
        <v>0.64583333333333337</v>
      </c>
      <c r="C63">
        <v>229</v>
      </c>
      <c r="D63">
        <v>228</v>
      </c>
      <c r="E63">
        <v>229</v>
      </c>
      <c r="F63" s="1">
        <v>80.5</v>
      </c>
      <c r="G63" s="1">
        <v>50</v>
      </c>
      <c r="H63" s="1">
        <v>8.4666666666666668</v>
      </c>
      <c r="I63" s="1">
        <v>0.99370000000000003</v>
      </c>
      <c r="J63" s="1">
        <v>-0.98899999999999999</v>
      </c>
      <c r="K63" s="1">
        <v>-0.90759999999999996</v>
      </c>
      <c r="L63" s="1">
        <v>18283.333333333332</v>
      </c>
      <c r="M63" s="1">
        <v>11283.333333333334</v>
      </c>
      <c r="N63" s="1">
        <v>1766.6666666666667</v>
      </c>
      <c r="O63" s="1">
        <v>31333.333333333332</v>
      </c>
    </row>
    <row r="64" spans="1:15" x14ac:dyDescent="0.3">
      <c r="A64" s="2">
        <v>46180</v>
      </c>
      <c r="B64" s="3">
        <v>0.65625</v>
      </c>
      <c r="C64">
        <v>228</v>
      </c>
      <c r="D64">
        <v>228</v>
      </c>
      <c r="E64">
        <v>228</v>
      </c>
      <c r="F64" s="1">
        <v>82.833333333333329</v>
      </c>
      <c r="G64" s="1">
        <v>48.666666666666664</v>
      </c>
      <c r="H64" s="1">
        <v>13</v>
      </c>
      <c r="I64" s="1">
        <v>0.99429999999999996</v>
      </c>
      <c r="J64" s="1">
        <v>-0.98850000000000005</v>
      </c>
      <c r="K64" s="1">
        <v>-0.96350000000000002</v>
      </c>
      <c r="L64" s="1">
        <v>18766.666666666668</v>
      </c>
      <c r="M64" s="1">
        <v>10966.666666666666</v>
      </c>
      <c r="N64" s="1">
        <v>2716.6666666666665</v>
      </c>
      <c r="O64" s="1">
        <v>32500</v>
      </c>
    </row>
    <row r="65" spans="1:15" x14ac:dyDescent="0.3">
      <c r="A65" s="2">
        <v>46180</v>
      </c>
      <c r="B65" s="3">
        <v>0.66666666666666663</v>
      </c>
      <c r="C65">
        <v>228</v>
      </c>
      <c r="D65">
        <v>227</v>
      </c>
      <c r="E65">
        <v>228</v>
      </c>
      <c r="F65" s="1">
        <v>82.333333333333329</v>
      </c>
      <c r="G65" s="1">
        <v>47.333333333333336</v>
      </c>
      <c r="H65" s="1">
        <v>14.05</v>
      </c>
      <c r="I65" s="1">
        <v>0.99399999999999999</v>
      </c>
      <c r="J65" s="1">
        <v>-0.98699999999999999</v>
      </c>
      <c r="K65" s="1">
        <v>-0.98340000000000005</v>
      </c>
      <c r="L65" s="1">
        <v>18600</v>
      </c>
      <c r="M65" s="1">
        <v>10583.333333333334</v>
      </c>
      <c r="N65" s="1">
        <v>2983.3333333333335</v>
      </c>
      <c r="O65" s="1">
        <v>32166.666666666668</v>
      </c>
    </row>
    <row r="66" spans="1:15" x14ac:dyDescent="0.3">
      <c r="A66" s="2">
        <v>46180</v>
      </c>
      <c r="B66" s="3">
        <v>0.67708333333333337</v>
      </c>
      <c r="C66">
        <v>227</v>
      </c>
      <c r="D66">
        <v>227</v>
      </c>
      <c r="E66">
        <v>227</v>
      </c>
      <c r="F66" s="1">
        <v>78.833333333333329</v>
      </c>
      <c r="G66" s="1">
        <v>44.166666666666664</v>
      </c>
      <c r="H66" s="1">
        <v>8.15</v>
      </c>
      <c r="I66" s="1">
        <v>0.99370000000000003</v>
      </c>
      <c r="J66" s="1">
        <v>-0.98440000000000005</v>
      </c>
      <c r="K66" s="1">
        <v>-0.91169999999999995</v>
      </c>
      <c r="L66" s="1">
        <v>17733.333333333332</v>
      </c>
      <c r="M66" s="1">
        <v>9816.6666666666661</v>
      </c>
      <c r="N66" s="1">
        <v>1683.3333333333333</v>
      </c>
      <c r="O66" s="1">
        <v>29166.666666666668</v>
      </c>
    </row>
    <row r="67" spans="1:15" x14ac:dyDescent="0.3">
      <c r="A67" s="2">
        <v>46180</v>
      </c>
      <c r="B67" s="3">
        <v>0.6875</v>
      </c>
      <c r="C67">
        <v>227</v>
      </c>
      <c r="D67">
        <v>226</v>
      </c>
      <c r="E67">
        <v>227</v>
      </c>
      <c r="F67" s="1">
        <v>72.666666666666671</v>
      </c>
      <c r="G67" s="1">
        <v>40.666666666666664</v>
      </c>
      <c r="H67" s="1">
        <v>15.633333333333333</v>
      </c>
      <c r="I67" s="1">
        <v>0.99239999999999995</v>
      </c>
      <c r="J67" s="1">
        <v>-0.98229999999999995</v>
      </c>
      <c r="K67" s="1">
        <v>0.98219999999999996</v>
      </c>
      <c r="L67" s="1">
        <v>16333.333333333334</v>
      </c>
      <c r="M67" s="1">
        <v>9033.3333333333339</v>
      </c>
      <c r="N67" s="1">
        <v>3450</v>
      </c>
      <c r="O67" s="1">
        <v>28833.333333333332</v>
      </c>
    </row>
    <row r="68" spans="1:15" x14ac:dyDescent="0.3">
      <c r="A68" s="2">
        <v>46180</v>
      </c>
      <c r="B68" s="3">
        <v>0.69791666666666663</v>
      </c>
      <c r="C68">
        <v>229</v>
      </c>
      <c r="D68">
        <v>228</v>
      </c>
      <c r="E68">
        <v>228</v>
      </c>
      <c r="F68" s="1">
        <v>63</v>
      </c>
      <c r="G68" s="1">
        <v>38.5</v>
      </c>
      <c r="H68" s="1">
        <v>15.633333333333333</v>
      </c>
      <c r="I68" s="1">
        <v>0.99070000000000003</v>
      </c>
      <c r="J68" s="1">
        <v>-0.97950000000000004</v>
      </c>
      <c r="K68" s="1">
        <v>0.9788</v>
      </c>
      <c r="L68" s="1">
        <v>14166.666666666666</v>
      </c>
      <c r="M68" s="1">
        <v>8600</v>
      </c>
      <c r="N68" s="1">
        <v>3483.3333333333335</v>
      </c>
      <c r="O68" s="1">
        <v>26333.333333333332</v>
      </c>
    </row>
    <row r="69" spans="1:15" x14ac:dyDescent="0.3">
      <c r="A69" s="2">
        <v>46180</v>
      </c>
      <c r="B69" s="3">
        <v>0.70833333333333337</v>
      </c>
      <c r="C69">
        <v>228</v>
      </c>
      <c r="D69">
        <v>227</v>
      </c>
      <c r="E69">
        <v>227</v>
      </c>
      <c r="F69" s="1">
        <v>62.666666666666664</v>
      </c>
      <c r="G69" s="1">
        <v>38.333333333333336</v>
      </c>
      <c r="H69" s="1">
        <v>15.3</v>
      </c>
      <c r="I69" s="1">
        <v>0.99809999999999999</v>
      </c>
      <c r="J69" s="1">
        <v>-0.97940000000000005</v>
      </c>
      <c r="K69" s="1">
        <v>0.97760000000000002</v>
      </c>
      <c r="L69" s="1">
        <v>14050</v>
      </c>
      <c r="M69" s="1">
        <v>8500</v>
      </c>
      <c r="N69" s="1">
        <v>3400</v>
      </c>
      <c r="O69" s="1">
        <v>26000</v>
      </c>
    </row>
    <row r="70" spans="1:15" x14ac:dyDescent="0.3">
      <c r="A70" s="2">
        <v>46180</v>
      </c>
      <c r="B70" s="3">
        <v>0.71875</v>
      </c>
      <c r="C70">
        <v>226</v>
      </c>
      <c r="D70">
        <v>225</v>
      </c>
      <c r="E70">
        <v>225</v>
      </c>
      <c r="F70" s="1">
        <v>56.833333333333336</v>
      </c>
      <c r="G70" s="1">
        <v>38.5</v>
      </c>
      <c r="H70" s="1">
        <v>17</v>
      </c>
      <c r="I70" s="1">
        <v>-0.98609999999999998</v>
      </c>
      <c r="J70" s="1">
        <v>-0.98009999999999997</v>
      </c>
      <c r="K70" s="1">
        <v>0.98440000000000005</v>
      </c>
      <c r="L70" s="1">
        <v>12616.666666666666</v>
      </c>
      <c r="M70" s="1">
        <v>8516.6666666666661</v>
      </c>
      <c r="N70" s="1">
        <v>3783.3333333333335</v>
      </c>
      <c r="O70" s="1">
        <v>25000</v>
      </c>
    </row>
    <row r="71" spans="1:15" x14ac:dyDescent="0.3">
      <c r="A71" s="2">
        <v>46180</v>
      </c>
      <c r="B71" s="3">
        <v>0.72916666666666663</v>
      </c>
      <c r="C71">
        <v>228</v>
      </c>
      <c r="D71">
        <v>227</v>
      </c>
      <c r="E71">
        <v>227</v>
      </c>
      <c r="F71" s="1">
        <v>51</v>
      </c>
      <c r="G71" s="1">
        <v>38.166666666666664</v>
      </c>
      <c r="H71" s="1">
        <v>16.833333333333332</v>
      </c>
      <c r="I71" s="1">
        <v>-0.98009999999999997</v>
      </c>
      <c r="J71" s="1">
        <v>-0.97950000000000004</v>
      </c>
      <c r="K71" s="1">
        <v>0.98350000000000004</v>
      </c>
      <c r="L71" s="1">
        <v>11383.333333333334</v>
      </c>
      <c r="M71" s="1">
        <v>8450</v>
      </c>
      <c r="N71" s="1">
        <v>3733.3333333333335</v>
      </c>
      <c r="O71" s="1">
        <v>23666.666666666668</v>
      </c>
    </row>
    <row r="72" spans="1:15" x14ac:dyDescent="0.3">
      <c r="A72" s="2">
        <v>46180</v>
      </c>
      <c r="B72" s="3">
        <v>0.73958333333333337</v>
      </c>
      <c r="C72">
        <v>230</v>
      </c>
      <c r="D72">
        <v>229</v>
      </c>
      <c r="E72">
        <v>229</v>
      </c>
      <c r="F72" s="1">
        <v>46.333333333333336</v>
      </c>
      <c r="G72" s="1">
        <v>37.333333333333336</v>
      </c>
      <c r="H72" s="1">
        <v>15.466666666666667</v>
      </c>
      <c r="I72" s="1">
        <v>-0.97870000000000001</v>
      </c>
      <c r="J72" s="1">
        <v>-0.97799999999999998</v>
      </c>
      <c r="K72" s="1">
        <v>0.97909999999999997</v>
      </c>
      <c r="L72" s="1">
        <v>10383.333333333334</v>
      </c>
      <c r="M72" s="1">
        <v>8350</v>
      </c>
      <c r="N72" s="1">
        <v>3466.6666666666665</v>
      </c>
      <c r="O72" s="1">
        <v>22166.666666666668</v>
      </c>
    </row>
    <row r="73" spans="1:15" x14ac:dyDescent="0.3">
      <c r="A73" s="2">
        <v>46180</v>
      </c>
      <c r="B73" s="3">
        <v>0.75</v>
      </c>
      <c r="C73">
        <v>227</v>
      </c>
      <c r="D73">
        <v>226</v>
      </c>
      <c r="E73">
        <v>226</v>
      </c>
      <c r="F73" s="1">
        <v>45.333333333333336</v>
      </c>
      <c r="G73" s="1">
        <v>37.5</v>
      </c>
      <c r="H73" s="1">
        <v>15.933333333333334</v>
      </c>
      <c r="I73" s="1">
        <v>-0.98040000000000005</v>
      </c>
      <c r="J73" s="1">
        <v>-0.97950000000000004</v>
      </c>
      <c r="K73" s="1">
        <v>0.98240000000000005</v>
      </c>
      <c r="L73" s="1">
        <v>10033.333333333334</v>
      </c>
      <c r="M73" s="1">
        <v>8283.3333333333339</v>
      </c>
      <c r="N73" s="1">
        <v>3533.3333333333335</v>
      </c>
      <c r="O73" s="1">
        <v>21833.333333333332</v>
      </c>
    </row>
    <row r="74" spans="1:15" x14ac:dyDescent="0.3">
      <c r="A74" s="2">
        <v>46180</v>
      </c>
      <c r="B74" s="3">
        <v>0.76041666666666663</v>
      </c>
      <c r="C74">
        <v>229</v>
      </c>
      <c r="D74">
        <v>228</v>
      </c>
      <c r="E74">
        <v>228</v>
      </c>
      <c r="F74" s="1">
        <v>44.166666666666664</v>
      </c>
      <c r="G74" s="1">
        <v>36.666666666666664</v>
      </c>
      <c r="H74" s="1">
        <v>15</v>
      </c>
      <c r="I74" s="1">
        <v>0.99160000000000004</v>
      </c>
      <c r="J74" s="1">
        <v>-0.97750000000000004</v>
      </c>
      <c r="K74" s="1">
        <v>0.97660000000000002</v>
      </c>
      <c r="L74" s="1">
        <v>9850</v>
      </c>
      <c r="M74" s="1">
        <v>8183.333333333333</v>
      </c>
      <c r="N74" s="1">
        <v>3333.3333333333335</v>
      </c>
      <c r="O74" s="1">
        <v>21333.333333333332</v>
      </c>
    </row>
    <row r="75" spans="1:15" x14ac:dyDescent="0.3">
      <c r="A75" s="2">
        <v>46180</v>
      </c>
      <c r="B75" s="3">
        <v>0.77083333333333337</v>
      </c>
      <c r="C75">
        <v>229</v>
      </c>
      <c r="D75">
        <v>228</v>
      </c>
      <c r="E75">
        <v>227</v>
      </c>
      <c r="F75" s="1">
        <v>41.166666666666664</v>
      </c>
      <c r="G75" s="1">
        <v>37</v>
      </c>
      <c r="H75" s="1">
        <v>14.933333333333334</v>
      </c>
      <c r="I75" s="1">
        <v>-0.96430000000000005</v>
      </c>
      <c r="J75" s="1">
        <v>-0.97760000000000002</v>
      </c>
      <c r="K75" s="1">
        <v>0.9768</v>
      </c>
      <c r="L75" s="1">
        <v>9066.6666666666661</v>
      </c>
      <c r="M75" s="1">
        <v>8233.3333333333339</v>
      </c>
      <c r="N75" s="1">
        <v>3316.6666666666665</v>
      </c>
      <c r="O75" s="1">
        <v>20666.666666666668</v>
      </c>
    </row>
    <row r="76" spans="1:15" x14ac:dyDescent="0.3">
      <c r="A76" s="2">
        <v>46180</v>
      </c>
      <c r="B76" s="3">
        <v>0.78125</v>
      </c>
      <c r="C76">
        <v>228</v>
      </c>
      <c r="D76">
        <v>227</v>
      </c>
      <c r="E76">
        <v>227</v>
      </c>
      <c r="F76" s="1">
        <v>45</v>
      </c>
      <c r="G76" s="1">
        <v>36.666666666666664</v>
      </c>
      <c r="H76" s="1">
        <v>14.816666666666666</v>
      </c>
      <c r="I76" s="1">
        <v>-0.96079999999999999</v>
      </c>
      <c r="J76" s="1">
        <v>-0.97740000000000005</v>
      </c>
      <c r="K76" s="1">
        <v>0.97660000000000002</v>
      </c>
      <c r="L76" s="1">
        <v>9850</v>
      </c>
      <c r="M76" s="1">
        <v>8150</v>
      </c>
      <c r="N76" s="1">
        <v>3283.3333333333335</v>
      </c>
      <c r="O76" s="1">
        <v>21333.333333333332</v>
      </c>
    </row>
    <row r="77" spans="1:15" x14ac:dyDescent="0.3">
      <c r="A77" s="2">
        <v>46180</v>
      </c>
      <c r="B77" s="3">
        <v>0.79166666666666663</v>
      </c>
      <c r="C77">
        <v>228</v>
      </c>
      <c r="D77">
        <v>227</v>
      </c>
      <c r="E77">
        <v>226</v>
      </c>
      <c r="F77" s="1">
        <v>46.833333333333336</v>
      </c>
      <c r="G77" s="1">
        <v>37.166666666666664</v>
      </c>
      <c r="H77" s="1">
        <v>14.816666666666666</v>
      </c>
      <c r="I77" s="1">
        <v>-0.96419999999999995</v>
      </c>
      <c r="J77" s="1">
        <v>-0.97829999999999995</v>
      </c>
      <c r="K77" s="1">
        <v>0.97660000000000002</v>
      </c>
      <c r="L77" s="1">
        <v>10266.666666666666</v>
      </c>
      <c r="M77" s="1">
        <v>8266.6666666666661</v>
      </c>
      <c r="N77" s="1">
        <v>3266.6666666666665</v>
      </c>
      <c r="O77" s="1">
        <v>21833.333333333332</v>
      </c>
    </row>
    <row r="78" spans="1:15" x14ac:dyDescent="0.3">
      <c r="A78" s="2">
        <v>46180</v>
      </c>
      <c r="B78" s="3">
        <v>0.80208333333333337</v>
      </c>
      <c r="C78">
        <v>228</v>
      </c>
      <c r="D78">
        <v>227</v>
      </c>
      <c r="E78">
        <v>227</v>
      </c>
      <c r="F78" s="1">
        <v>46.333333333333336</v>
      </c>
      <c r="G78" s="1">
        <v>36.833333333333336</v>
      </c>
      <c r="H78" s="1">
        <v>14.883333333333333</v>
      </c>
      <c r="I78" s="1">
        <v>-0.96419999999999995</v>
      </c>
      <c r="J78" s="1">
        <v>-0.97760000000000002</v>
      </c>
      <c r="K78" s="1">
        <v>0.97719999999999996</v>
      </c>
      <c r="L78" s="1">
        <v>10183.333333333334</v>
      </c>
      <c r="M78" s="1">
        <v>8200</v>
      </c>
      <c r="N78" s="1">
        <v>3300</v>
      </c>
      <c r="O78" s="1">
        <v>21666.666666666668</v>
      </c>
    </row>
    <row r="79" spans="1:15" x14ac:dyDescent="0.3">
      <c r="A79" s="2">
        <v>46180</v>
      </c>
      <c r="B79" s="3">
        <v>0.8125</v>
      </c>
      <c r="C79">
        <v>229</v>
      </c>
      <c r="D79">
        <v>228</v>
      </c>
      <c r="E79">
        <v>227</v>
      </c>
      <c r="F79" s="1">
        <v>46</v>
      </c>
      <c r="G79" s="1">
        <v>37.166666666666664</v>
      </c>
      <c r="H79" s="1">
        <v>14.883333333333333</v>
      </c>
      <c r="I79" s="1">
        <v>-0.96389999999999998</v>
      </c>
      <c r="J79" s="1">
        <v>-0.97799999999999998</v>
      </c>
      <c r="K79" s="1">
        <v>0.97699999999999998</v>
      </c>
      <c r="L79" s="1">
        <v>10116.666666666666</v>
      </c>
      <c r="M79" s="1">
        <v>8266.6666666666661</v>
      </c>
      <c r="N79" s="1">
        <v>3300</v>
      </c>
      <c r="O79" s="1">
        <v>21666.666666666668</v>
      </c>
    </row>
    <row r="80" spans="1:15" x14ac:dyDescent="0.3">
      <c r="A80" s="2">
        <v>46180</v>
      </c>
      <c r="B80" s="3">
        <v>0.82291666666666663</v>
      </c>
      <c r="C80">
        <v>229</v>
      </c>
      <c r="D80">
        <v>228</v>
      </c>
      <c r="E80">
        <v>227</v>
      </c>
      <c r="F80" s="1">
        <v>46.166666666666664</v>
      </c>
      <c r="G80" s="1">
        <v>37.166666666666664</v>
      </c>
      <c r="H80" s="1">
        <v>14.883333333333333</v>
      </c>
      <c r="I80" s="1">
        <v>-0.96440000000000003</v>
      </c>
      <c r="J80" s="1">
        <v>-0.97840000000000005</v>
      </c>
      <c r="K80" s="1">
        <v>0.97689999999999999</v>
      </c>
      <c r="L80" s="1">
        <v>10166.666666666666</v>
      </c>
      <c r="M80" s="1">
        <v>8300</v>
      </c>
      <c r="N80" s="1">
        <v>3300</v>
      </c>
      <c r="O80" s="1">
        <v>21833.333333333332</v>
      </c>
    </row>
    <row r="81" spans="1:15" x14ac:dyDescent="0.3">
      <c r="A81" s="2">
        <v>46180</v>
      </c>
      <c r="B81" s="3">
        <v>0.83333333333333337</v>
      </c>
      <c r="C81">
        <v>231</v>
      </c>
      <c r="D81">
        <v>229</v>
      </c>
      <c r="E81">
        <v>229</v>
      </c>
      <c r="F81" s="1">
        <v>43.833333333333336</v>
      </c>
      <c r="G81" s="1">
        <v>36.833333333333336</v>
      </c>
      <c r="H81" s="1">
        <v>14.8</v>
      </c>
      <c r="I81" s="1">
        <v>-0.96009999999999995</v>
      </c>
      <c r="J81" s="1">
        <v>-0.97799999999999998</v>
      </c>
      <c r="K81" s="1">
        <v>0.97619999999999996</v>
      </c>
      <c r="L81" s="1">
        <v>9683.3333333333339</v>
      </c>
      <c r="M81" s="1">
        <v>8250</v>
      </c>
      <c r="N81" s="1">
        <v>3300</v>
      </c>
      <c r="O81" s="1">
        <v>21166.666666666668</v>
      </c>
    </row>
    <row r="82" spans="1:15" x14ac:dyDescent="0.3">
      <c r="A82" s="2">
        <v>46180</v>
      </c>
      <c r="B82" s="3">
        <v>0.84375</v>
      </c>
      <c r="C82">
        <v>233</v>
      </c>
      <c r="D82">
        <v>231</v>
      </c>
      <c r="E82">
        <v>231</v>
      </c>
      <c r="F82" s="1">
        <v>42.5</v>
      </c>
      <c r="G82" s="1">
        <v>36.333333333333336</v>
      </c>
      <c r="H82" s="1">
        <v>14.933333333333334</v>
      </c>
      <c r="I82" s="1">
        <v>-0.95640000000000003</v>
      </c>
      <c r="J82" s="1">
        <v>-0.9768</v>
      </c>
      <c r="K82" s="1">
        <v>0.97629999999999995</v>
      </c>
      <c r="L82" s="1">
        <v>9450</v>
      </c>
      <c r="M82" s="1">
        <v>8200</v>
      </c>
      <c r="N82" s="1">
        <v>3366.6666666666665</v>
      </c>
      <c r="O82" s="1">
        <v>21000</v>
      </c>
    </row>
    <row r="83" spans="1:15" x14ac:dyDescent="0.3">
      <c r="A83" s="2">
        <v>46180</v>
      </c>
      <c r="B83" s="3">
        <v>0.85416666666666663</v>
      </c>
      <c r="C83">
        <v>234</v>
      </c>
      <c r="D83">
        <v>232</v>
      </c>
      <c r="E83">
        <v>232</v>
      </c>
      <c r="F83" s="1">
        <v>43</v>
      </c>
      <c r="G83" s="1">
        <v>35.833333333333336</v>
      </c>
      <c r="H83" s="1">
        <v>14.983333333333333</v>
      </c>
      <c r="I83" s="1">
        <v>-0.95730000000000004</v>
      </c>
      <c r="J83" s="1">
        <v>-0.97550000000000003</v>
      </c>
      <c r="K83" s="1">
        <v>0.97629999999999995</v>
      </c>
      <c r="L83" s="1">
        <v>9583.3333333333339</v>
      </c>
      <c r="M83" s="1">
        <v>8133.333333333333</v>
      </c>
      <c r="N83" s="1">
        <v>3383.3333333333335</v>
      </c>
      <c r="O83" s="1">
        <v>21166.666666666668</v>
      </c>
    </row>
    <row r="84" spans="1:15" x14ac:dyDescent="0.3">
      <c r="A84" s="2">
        <v>46180</v>
      </c>
      <c r="B84" s="3">
        <v>0.86458333333333337</v>
      </c>
      <c r="C84">
        <v>233</v>
      </c>
      <c r="D84">
        <v>232</v>
      </c>
      <c r="E84">
        <v>232</v>
      </c>
      <c r="F84" s="1">
        <v>44.5</v>
      </c>
      <c r="G84" s="1">
        <v>36</v>
      </c>
      <c r="H84" s="1">
        <v>14.9</v>
      </c>
      <c r="I84" s="1">
        <v>-0.96109999999999995</v>
      </c>
      <c r="J84" s="1">
        <v>-0.9798</v>
      </c>
      <c r="K84" s="1">
        <v>0.97570000000000001</v>
      </c>
      <c r="L84" s="1">
        <v>9950</v>
      </c>
      <c r="M84" s="1">
        <v>8183.333333333333</v>
      </c>
      <c r="N84" s="1">
        <v>3366.6666666666665</v>
      </c>
      <c r="O84" s="1">
        <v>21500</v>
      </c>
    </row>
    <row r="85" spans="1:15" x14ac:dyDescent="0.3">
      <c r="A85" s="2">
        <v>46180</v>
      </c>
      <c r="B85" s="3">
        <v>0.875</v>
      </c>
      <c r="C85">
        <v>235</v>
      </c>
      <c r="D85">
        <v>234</v>
      </c>
      <c r="E85">
        <v>233</v>
      </c>
      <c r="F85" s="1">
        <v>45.666666666666664</v>
      </c>
      <c r="G85" s="1">
        <v>35.5</v>
      </c>
      <c r="H85" s="1">
        <v>14.816666666666666</v>
      </c>
      <c r="I85" s="1">
        <v>-0.96319999999999995</v>
      </c>
      <c r="J85" s="1">
        <v>-0.97540000000000004</v>
      </c>
      <c r="K85" s="1">
        <v>0.97440000000000004</v>
      </c>
      <c r="L85" s="1">
        <v>10316.666666666666</v>
      </c>
      <c r="M85" s="1">
        <v>8083.333333333333</v>
      </c>
      <c r="N85" s="1">
        <v>3366.6666666666665</v>
      </c>
      <c r="O85" s="1">
        <v>21833.333333333332</v>
      </c>
    </row>
    <row r="86" spans="1:15" x14ac:dyDescent="0.3">
      <c r="A86" s="2">
        <v>46180</v>
      </c>
      <c r="B86" s="3">
        <v>0.88541666666666663</v>
      </c>
      <c r="C86">
        <v>233</v>
      </c>
      <c r="D86">
        <v>232</v>
      </c>
      <c r="E86">
        <v>231</v>
      </c>
      <c r="F86" s="1">
        <v>46.333333333333336</v>
      </c>
      <c r="G86" s="1">
        <v>35.833333333333336</v>
      </c>
      <c r="H86" s="1">
        <v>14.883333333333333</v>
      </c>
      <c r="I86" s="1">
        <v>-0.96319999999999995</v>
      </c>
      <c r="J86" s="1">
        <v>-0.97489999999999999</v>
      </c>
      <c r="K86" s="1">
        <v>0.97560000000000002</v>
      </c>
      <c r="L86" s="1">
        <v>10383.333333333334</v>
      </c>
      <c r="M86" s="1">
        <v>8100</v>
      </c>
      <c r="N86" s="1">
        <v>3350</v>
      </c>
      <c r="O86" s="1">
        <v>21833.333333333332</v>
      </c>
    </row>
    <row r="87" spans="1:15" x14ac:dyDescent="0.3">
      <c r="A87" s="2">
        <v>46180</v>
      </c>
      <c r="B87" s="3">
        <v>0.89583333333333337</v>
      </c>
      <c r="C87">
        <v>235</v>
      </c>
      <c r="D87">
        <v>234</v>
      </c>
      <c r="E87">
        <v>233</v>
      </c>
      <c r="F87" s="1">
        <v>46.166666666666664</v>
      </c>
      <c r="G87" s="1">
        <v>35.333333333333336</v>
      </c>
      <c r="H87" s="1">
        <v>14.75</v>
      </c>
      <c r="I87" s="1">
        <v>-0.96260000000000001</v>
      </c>
      <c r="J87" s="1">
        <v>-0.97330000000000005</v>
      </c>
      <c r="K87" s="1">
        <v>0.97450000000000003</v>
      </c>
      <c r="L87" s="1">
        <v>10416.666666666666</v>
      </c>
      <c r="M87" s="1">
        <v>8033.333333333333</v>
      </c>
      <c r="N87" s="1">
        <v>3350</v>
      </c>
      <c r="O87" s="1">
        <v>21833.333333333332</v>
      </c>
    </row>
    <row r="88" spans="1:15" x14ac:dyDescent="0.3">
      <c r="A88" s="2">
        <v>46180</v>
      </c>
      <c r="B88" s="3">
        <v>0.90625</v>
      </c>
      <c r="C88">
        <v>235</v>
      </c>
      <c r="D88">
        <v>234</v>
      </c>
      <c r="E88">
        <v>233</v>
      </c>
      <c r="F88" s="1">
        <v>45.833333333333336</v>
      </c>
      <c r="G88" s="1">
        <v>35.333333333333336</v>
      </c>
      <c r="H88" s="1">
        <v>14.7</v>
      </c>
      <c r="I88" s="1">
        <v>-0.96289999999999998</v>
      </c>
      <c r="J88" s="1">
        <v>-0.97340000000000004</v>
      </c>
      <c r="K88" s="1">
        <v>0.97360000000000002</v>
      </c>
      <c r="L88" s="1">
        <v>10350</v>
      </c>
      <c r="M88" s="1">
        <v>8066.666666666667</v>
      </c>
      <c r="N88" s="1">
        <v>3333.3333333333335</v>
      </c>
      <c r="O88" s="1">
        <v>21833.333333333332</v>
      </c>
    </row>
    <row r="89" spans="1:15" x14ac:dyDescent="0.3">
      <c r="A89" s="2">
        <v>46180</v>
      </c>
      <c r="B89" s="3">
        <v>0.91666666666666663</v>
      </c>
      <c r="C89">
        <v>235</v>
      </c>
      <c r="D89">
        <v>234</v>
      </c>
      <c r="E89">
        <v>233</v>
      </c>
      <c r="F89" s="1">
        <v>45</v>
      </c>
      <c r="G89" s="1">
        <v>35.166666666666664</v>
      </c>
      <c r="H89" s="1">
        <v>14.75</v>
      </c>
      <c r="I89" s="1">
        <v>-0.96079999999999999</v>
      </c>
      <c r="J89" s="1">
        <v>-0.97299999999999998</v>
      </c>
      <c r="K89" s="1">
        <v>0.97389999999999999</v>
      </c>
      <c r="L89" s="1">
        <v>10116.666666666666</v>
      </c>
      <c r="M89" s="1">
        <v>8016.666666666667</v>
      </c>
      <c r="N89" s="1">
        <v>3350</v>
      </c>
      <c r="O89" s="1">
        <v>21500</v>
      </c>
    </row>
    <row r="90" spans="1:15" x14ac:dyDescent="0.3">
      <c r="A90" s="2">
        <v>46180</v>
      </c>
      <c r="B90" s="3">
        <v>0.92708333333333337</v>
      </c>
      <c r="C90">
        <v>233</v>
      </c>
      <c r="D90">
        <v>232</v>
      </c>
      <c r="E90">
        <v>231</v>
      </c>
      <c r="F90" s="1">
        <v>44.5</v>
      </c>
      <c r="G90" s="1">
        <v>35.166666666666664</v>
      </c>
      <c r="H90" s="1">
        <v>15.266666666666667</v>
      </c>
      <c r="I90" s="1">
        <v>-0.9607</v>
      </c>
      <c r="J90" s="1">
        <v>-0.97309999999999997</v>
      </c>
      <c r="K90" s="1">
        <v>0.97789999999999999</v>
      </c>
      <c r="L90" s="1">
        <v>9933.3333333333339</v>
      </c>
      <c r="M90" s="1">
        <v>7933.333333333333</v>
      </c>
      <c r="N90" s="1">
        <v>3450</v>
      </c>
      <c r="O90" s="1">
        <v>21333.333333333332</v>
      </c>
    </row>
    <row r="91" spans="1:15" x14ac:dyDescent="0.3">
      <c r="A91" s="2">
        <v>46180</v>
      </c>
      <c r="B91" s="3">
        <v>0.9375</v>
      </c>
      <c r="C91">
        <v>234</v>
      </c>
      <c r="D91">
        <v>233</v>
      </c>
      <c r="E91">
        <v>232</v>
      </c>
      <c r="F91" s="1">
        <v>43.333333333333336</v>
      </c>
      <c r="G91" s="1">
        <v>35</v>
      </c>
      <c r="H91" s="1">
        <v>16.033333333333335</v>
      </c>
      <c r="I91" s="1">
        <v>-0.9587</v>
      </c>
      <c r="J91" s="1">
        <v>-0.97209999999999996</v>
      </c>
      <c r="K91" s="1">
        <v>0.97989999999999999</v>
      </c>
      <c r="L91" s="1">
        <v>9716.6666666666661</v>
      </c>
      <c r="M91" s="1">
        <v>7933.333333333333</v>
      </c>
      <c r="N91" s="1">
        <v>3650</v>
      </c>
      <c r="O91" s="1">
        <v>21333.333333333332</v>
      </c>
    </row>
    <row r="92" spans="1:15" x14ac:dyDescent="0.3">
      <c r="A92" s="2">
        <v>46180</v>
      </c>
      <c r="B92" s="3">
        <v>0.94791666666666663</v>
      </c>
      <c r="C92">
        <v>234</v>
      </c>
      <c r="D92">
        <v>233</v>
      </c>
      <c r="E92">
        <v>232</v>
      </c>
      <c r="F92" s="1">
        <v>43.666666666666664</v>
      </c>
      <c r="G92" s="1">
        <v>35</v>
      </c>
      <c r="H92" s="1">
        <v>17.5</v>
      </c>
      <c r="I92" s="1">
        <v>-0.95889999999999997</v>
      </c>
      <c r="J92" s="1">
        <v>-0.97250000000000003</v>
      </c>
      <c r="K92" s="1">
        <v>0.98599999999999999</v>
      </c>
      <c r="L92" s="1">
        <v>9750</v>
      </c>
      <c r="M92" s="1">
        <v>7916.666666666667</v>
      </c>
      <c r="N92" s="1">
        <v>4016.6666666666665</v>
      </c>
      <c r="O92" s="1">
        <v>21666.666666666668</v>
      </c>
    </row>
    <row r="93" spans="1:15" x14ac:dyDescent="0.3">
      <c r="A93" s="2">
        <v>46180</v>
      </c>
      <c r="B93" s="3">
        <v>0.95833333333333337</v>
      </c>
      <c r="C93">
        <v>234</v>
      </c>
      <c r="D93">
        <v>233</v>
      </c>
      <c r="E93">
        <v>232</v>
      </c>
      <c r="F93" s="1">
        <v>43</v>
      </c>
      <c r="G93" s="1">
        <v>35.333333333333336</v>
      </c>
      <c r="H93" s="1">
        <v>17.333333333333332</v>
      </c>
      <c r="I93" s="1">
        <v>-0.95799999999999996</v>
      </c>
      <c r="J93" s="1">
        <v>-0.97330000000000005</v>
      </c>
      <c r="K93" s="1">
        <v>0.98540000000000005</v>
      </c>
      <c r="L93" s="1">
        <v>9600</v>
      </c>
      <c r="M93" s="1">
        <v>8000</v>
      </c>
      <c r="N93" s="1">
        <v>3950</v>
      </c>
      <c r="O93" s="1">
        <v>21500</v>
      </c>
    </row>
    <row r="94" spans="1:15" x14ac:dyDescent="0.3">
      <c r="A94" s="2">
        <v>46180</v>
      </c>
      <c r="B94" s="3">
        <v>0.96875</v>
      </c>
      <c r="C94">
        <v>234</v>
      </c>
      <c r="D94">
        <v>233</v>
      </c>
      <c r="E94">
        <v>232</v>
      </c>
      <c r="F94" s="1">
        <v>42.666666666666664</v>
      </c>
      <c r="G94" s="1">
        <v>35.333333333333336</v>
      </c>
      <c r="H94" s="1">
        <v>19.333333333333332</v>
      </c>
      <c r="I94" s="1">
        <v>-0.95789999999999997</v>
      </c>
      <c r="J94" s="1">
        <v>-0.97340000000000004</v>
      </c>
      <c r="K94" s="1">
        <v>0.98970000000000002</v>
      </c>
      <c r="L94" s="1">
        <v>9566.6666666666661</v>
      </c>
      <c r="M94" s="1">
        <v>8016.666666666667</v>
      </c>
      <c r="N94" s="1">
        <v>4433.333333333333</v>
      </c>
      <c r="O94" s="1">
        <v>22000</v>
      </c>
    </row>
    <row r="95" spans="1:15" x14ac:dyDescent="0.3">
      <c r="A95" s="2">
        <v>46180</v>
      </c>
      <c r="B95" s="3">
        <v>0.97916666666666663</v>
      </c>
      <c r="C95">
        <v>234</v>
      </c>
      <c r="D95">
        <v>233</v>
      </c>
      <c r="E95">
        <v>232</v>
      </c>
      <c r="F95" s="1">
        <v>42.833333333333336</v>
      </c>
      <c r="G95" s="1">
        <v>35.5</v>
      </c>
      <c r="H95" s="1">
        <v>18.833333333333332</v>
      </c>
      <c r="I95" s="1">
        <v>-0.95779999999999998</v>
      </c>
      <c r="J95" s="1">
        <v>-0.97360000000000002</v>
      </c>
      <c r="K95" s="1">
        <v>0.98909999999999998</v>
      </c>
      <c r="L95" s="1">
        <v>9583.3333333333339</v>
      </c>
      <c r="M95" s="1">
        <v>8033.333333333333</v>
      </c>
      <c r="N95" s="1">
        <v>4300</v>
      </c>
      <c r="O95" s="1">
        <v>22000</v>
      </c>
    </row>
    <row r="96" spans="1:15" x14ac:dyDescent="0.3">
      <c r="A96" s="2">
        <v>46180</v>
      </c>
      <c r="B96" s="3">
        <v>0.98958333333333337</v>
      </c>
      <c r="C96">
        <v>236</v>
      </c>
      <c r="D96">
        <v>235</v>
      </c>
      <c r="E96">
        <v>234</v>
      </c>
      <c r="F96" s="1">
        <v>42.5</v>
      </c>
      <c r="G96" s="1">
        <v>35.333333333333336</v>
      </c>
      <c r="H96" s="1">
        <v>17.833333333333332</v>
      </c>
      <c r="I96" s="1">
        <v>-0.95609999999999995</v>
      </c>
      <c r="J96" s="1">
        <v>-0.97430000000000005</v>
      </c>
      <c r="K96" s="1">
        <v>0.98729999999999996</v>
      </c>
      <c r="L96" s="1">
        <v>9533.3333333333339</v>
      </c>
      <c r="M96" s="1">
        <v>8050</v>
      </c>
      <c r="N96" s="1">
        <v>4133.333333333333</v>
      </c>
      <c r="O96" s="1">
        <v>21666.666666666668</v>
      </c>
    </row>
    <row r="97" spans="1:15" x14ac:dyDescent="0.3">
      <c r="A97" s="2">
        <v>46210</v>
      </c>
      <c r="B97" s="3">
        <v>0</v>
      </c>
      <c r="C97">
        <v>233</v>
      </c>
      <c r="D97">
        <v>232</v>
      </c>
      <c r="E97">
        <v>231</v>
      </c>
      <c r="F97" s="1">
        <v>42.833333333333336</v>
      </c>
      <c r="G97" s="1">
        <v>33.5</v>
      </c>
      <c r="H97" s="1">
        <v>18</v>
      </c>
      <c r="I97" s="1">
        <v>-0.95730000000000004</v>
      </c>
      <c r="J97" s="1">
        <v>-0.96809999999999996</v>
      </c>
      <c r="K97" s="1">
        <v>0.98850000000000005</v>
      </c>
      <c r="L97" s="1">
        <v>9516.6666666666661</v>
      </c>
      <c r="M97" s="1">
        <v>7483.333333333333</v>
      </c>
      <c r="N97" s="1">
        <v>4116.666666666667</v>
      </c>
      <c r="O97" s="1">
        <v>21166.666666666668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642A7-2089-4394-AA63-EA68FBC0845D}">
  <dimension ref="A1:H189"/>
  <sheetViews>
    <sheetView topLeftCell="A71" zoomScale="134" workbookViewId="0">
      <selection activeCell="C5" sqref="C5"/>
    </sheetView>
  </sheetViews>
  <sheetFormatPr defaultRowHeight="14.4" x14ac:dyDescent="0.3"/>
  <sheetData>
    <row r="1" spans="1:8" ht="17.399999999999999" x14ac:dyDescent="0.3">
      <c r="A1" s="89" t="s">
        <v>15</v>
      </c>
      <c r="B1" s="89"/>
      <c r="C1" s="89"/>
      <c r="D1" s="89"/>
      <c r="E1" s="89"/>
      <c r="F1" s="89"/>
      <c r="G1" s="89"/>
      <c r="H1" s="89"/>
    </row>
    <row r="2" spans="1:8" x14ac:dyDescent="0.3">
      <c r="A2" s="95" t="s">
        <v>16</v>
      </c>
      <c r="B2" s="95"/>
      <c r="C2" s="95"/>
      <c r="D2" s="95"/>
      <c r="E2" s="95"/>
      <c r="F2" s="95"/>
      <c r="G2" s="95"/>
      <c r="H2" s="95"/>
    </row>
    <row r="3" spans="1:8" ht="15" thickBot="1" x14ac:dyDescent="0.35">
      <c r="A3" s="96" t="s">
        <v>17</v>
      </c>
      <c r="B3" s="96"/>
      <c r="C3" s="96"/>
      <c r="D3" s="96"/>
      <c r="E3" s="96"/>
      <c r="F3" s="96"/>
      <c r="G3" s="96"/>
      <c r="H3" s="96"/>
    </row>
    <row r="4" spans="1:8" ht="15" thickBot="1" x14ac:dyDescent="0.35">
      <c r="A4" s="6" t="s">
        <v>18</v>
      </c>
      <c r="B4" s="6" t="s">
        <v>1</v>
      </c>
      <c r="C4" s="6" t="s">
        <v>19</v>
      </c>
      <c r="D4" s="6" t="s">
        <v>20</v>
      </c>
      <c r="E4" s="6" t="s">
        <v>21</v>
      </c>
      <c r="F4" s="6" t="s">
        <v>22</v>
      </c>
      <c r="G4" s="6" t="s">
        <v>23</v>
      </c>
      <c r="H4" s="6"/>
    </row>
    <row r="5" spans="1:8" x14ac:dyDescent="0.3">
      <c r="A5" s="7">
        <v>0</v>
      </c>
      <c r="B5" s="8" t="s">
        <v>24</v>
      </c>
      <c r="C5" s="9">
        <v>0</v>
      </c>
      <c r="D5" s="9">
        <v>0</v>
      </c>
      <c r="E5" s="7">
        <v>0</v>
      </c>
      <c r="F5" s="10" t="s">
        <v>25</v>
      </c>
      <c r="G5" s="11" t="s">
        <v>26</v>
      </c>
      <c r="H5" s="7"/>
    </row>
    <row r="6" spans="1:8" x14ac:dyDescent="0.3">
      <c r="A6" s="7">
        <v>1</v>
      </c>
      <c r="B6" s="8" t="s">
        <v>27</v>
      </c>
      <c r="C6" s="9">
        <v>0</v>
      </c>
      <c r="D6" s="9">
        <v>0</v>
      </c>
      <c r="E6" s="7">
        <v>0</v>
      </c>
      <c r="F6" s="10" t="s">
        <v>25</v>
      </c>
      <c r="G6" s="11"/>
      <c r="H6" s="7"/>
    </row>
    <row r="7" spans="1:8" x14ac:dyDescent="0.3">
      <c r="A7" s="7">
        <v>2</v>
      </c>
      <c r="B7" s="8" t="s">
        <v>28</v>
      </c>
      <c r="C7" s="9">
        <v>0</v>
      </c>
      <c r="D7" s="9">
        <v>0</v>
      </c>
      <c r="E7" s="7">
        <v>0</v>
      </c>
      <c r="F7" s="10" t="s">
        <v>25</v>
      </c>
      <c r="G7" s="11"/>
      <c r="H7" s="7"/>
    </row>
    <row r="8" spans="1:8" x14ac:dyDescent="0.3">
      <c r="A8" s="7">
        <v>3</v>
      </c>
      <c r="B8" s="8" t="s">
        <v>29</v>
      </c>
      <c r="C8" s="9">
        <v>0</v>
      </c>
      <c r="D8" s="9">
        <v>0</v>
      </c>
      <c r="E8" s="7">
        <v>0</v>
      </c>
      <c r="F8" s="10" t="s">
        <v>25</v>
      </c>
      <c r="G8" s="11"/>
      <c r="H8" s="7"/>
    </row>
    <row r="9" spans="1:8" x14ac:dyDescent="0.3">
      <c r="A9" s="7">
        <v>4</v>
      </c>
      <c r="B9" s="8" t="s">
        <v>30</v>
      </c>
      <c r="C9" s="9">
        <v>0</v>
      </c>
      <c r="D9" s="9">
        <v>0</v>
      </c>
      <c r="E9" s="7">
        <v>0</v>
      </c>
      <c r="F9" s="10" t="s">
        <v>25</v>
      </c>
      <c r="G9" s="11"/>
      <c r="H9" s="7"/>
    </row>
    <row r="10" spans="1:8" x14ac:dyDescent="0.3">
      <c r="A10" s="7">
        <v>5</v>
      </c>
      <c r="B10" s="8" t="s">
        <v>31</v>
      </c>
      <c r="C10" s="9">
        <v>0</v>
      </c>
      <c r="D10" s="9">
        <v>0</v>
      </c>
      <c r="E10" s="7">
        <v>0</v>
      </c>
      <c r="F10" s="10" t="s">
        <v>25</v>
      </c>
      <c r="G10" s="11"/>
      <c r="H10" s="7"/>
    </row>
    <row r="11" spans="1:8" x14ac:dyDescent="0.3">
      <c r="A11" s="7">
        <v>6</v>
      </c>
      <c r="B11" s="8" t="s">
        <v>32</v>
      </c>
      <c r="C11" s="9">
        <v>0</v>
      </c>
      <c r="D11" s="9">
        <v>0</v>
      </c>
      <c r="E11" s="7">
        <v>0</v>
      </c>
      <c r="F11" s="10" t="s">
        <v>25</v>
      </c>
      <c r="G11" s="11"/>
      <c r="H11" s="7"/>
    </row>
    <row r="12" spans="1:8" x14ac:dyDescent="0.3">
      <c r="A12" s="7">
        <v>7</v>
      </c>
      <c r="B12" s="8" t="s">
        <v>33</v>
      </c>
      <c r="C12" s="9">
        <v>0</v>
      </c>
      <c r="D12" s="9">
        <v>0</v>
      </c>
      <c r="E12" s="7">
        <v>0</v>
      </c>
      <c r="F12" s="10" t="s">
        <v>25</v>
      </c>
      <c r="G12" s="11"/>
      <c r="H12" s="7"/>
    </row>
    <row r="13" spans="1:8" x14ac:dyDescent="0.3">
      <c r="A13" s="7">
        <v>8</v>
      </c>
      <c r="B13" s="8" t="s">
        <v>34</v>
      </c>
      <c r="C13" s="9">
        <v>0</v>
      </c>
      <c r="D13" s="9">
        <v>0</v>
      </c>
      <c r="E13" s="7">
        <v>0</v>
      </c>
      <c r="F13" s="10" t="s">
        <v>25</v>
      </c>
      <c r="G13" s="11"/>
      <c r="H13" s="7"/>
    </row>
    <row r="14" spans="1:8" x14ac:dyDescent="0.3">
      <c r="A14" s="7">
        <v>9</v>
      </c>
      <c r="B14" s="8" t="s">
        <v>35</v>
      </c>
      <c r="C14" s="9">
        <v>0</v>
      </c>
      <c r="D14" s="9">
        <v>0</v>
      </c>
      <c r="E14" s="7">
        <v>0</v>
      </c>
      <c r="F14" s="10" t="s">
        <v>25</v>
      </c>
      <c r="G14" s="11"/>
      <c r="H14" s="7"/>
    </row>
    <row r="15" spans="1:8" x14ac:dyDescent="0.3">
      <c r="A15" s="7">
        <v>10</v>
      </c>
      <c r="B15" s="8" t="s">
        <v>36</v>
      </c>
      <c r="C15" s="9">
        <v>0</v>
      </c>
      <c r="D15" s="9">
        <v>0</v>
      </c>
      <c r="E15" s="7">
        <v>0</v>
      </c>
      <c r="F15" s="10" t="s">
        <v>25</v>
      </c>
      <c r="G15" s="11"/>
      <c r="H15" s="7"/>
    </row>
    <row r="16" spans="1:8" x14ac:dyDescent="0.3">
      <c r="A16" s="7">
        <v>11</v>
      </c>
      <c r="B16" s="8" t="s">
        <v>37</v>
      </c>
      <c r="C16" s="9">
        <v>0</v>
      </c>
      <c r="D16" s="9">
        <v>0</v>
      </c>
      <c r="E16" s="7">
        <v>0</v>
      </c>
      <c r="F16" s="10" t="s">
        <v>25</v>
      </c>
      <c r="G16" s="11"/>
      <c r="H16" s="7"/>
    </row>
    <row r="17" spans="1:8" x14ac:dyDescent="0.3">
      <c r="A17" s="7">
        <v>12</v>
      </c>
      <c r="B17" s="8" t="s">
        <v>38</v>
      </c>
      <c r="C17" s="9">
        <v>0</v>
      </c>
      <c r="D17" s="9">
        <v>0</v>
      </c>
      <c r="E17" s="7">
        <v>0</v>
      </c>
      <c r="F17" s="10" t="s">
        <v>25</v>
      </c>
      <c r="G17" s="11"/>
      <c r="H17" s="7"/>
    </row>
    <row r="18" spans="1:8" x14ac:dyDescent="0.3">
      <c r="A18" s="7">
        <v>13</v>
      </c>
      <c r="B18" s="8" t="s">
        <v>39</v>
      </c>
      <c r="C18" s="9">
        <v>0</v>
      </c>
      <c r="D18" s="9">
        <v>0</v>
      </c>
      <c r="E18" s="7">
        <v>0</v>
      </c>
      <c r="F18" s="10" t="s">
        <v>25</v>
      </c>
      <c r="G18" s="11"/>
      <c r="H18" s="7"/>
    </row>
    <row r="19" spans="1:8" x14ac:dyDescent="0.3">
      <c r="A19" s="7">
        <v>14</v>
      </c>
      <c r="B19" s="8" t="s">
        <v>40</v>
      </c>
      <c r="C19" s="9">
        <v>0</v>
      </c>
      <c r="D19" s="9">
        <v>0</v>
      </c>
      <c r="E19" s="7">
        <v>0</v>
      </c>
      <c r="F19" s="10" t="s">
        <v>25</v>
      </c>
      <c r="G19" s="11"/>
      <c r="H19" s="7"/>
    </row>
    <row r="20" spans="1:8" x14ac:dyDescent="0.3">
      <c r="A20" s="7">
        <v>15</v>
      </c>
      <c r="B20" s="8" t="s">
        <v>41</v>
      </c>
      <c r="C20" s="9">
        <v>0</v>
      </c>
      <c r="D20" s="9">
        <v>0</v>
      </c>
      <c r="E20" s="7">
        <v>0</v>
      </c>
      <c r="F20" s="10" t="s">
        <v>25</v>
      </c>
      <c r="G20" s="11"/>
      <c r="H20" s="7"/>
    </row>
    <row r="21" spans="1:8" x14ac:dyDescent="0.3">
      <c r="A21" s="7">
        <v>16</v>
      </c>
      <c r="B21" s="8" t="s">
        <v>42</v>
      </c>
      <c r="C21" s="9">
        <v>0</v>
      </c>
      <c r="D21" s="9">
        <v>0</v>
      </c>
      <c r="E21" s="7">
        <v>0</v>
      </c>
      <c r="F21" s="10" t="s">
        <v>25</v>
      </c>
      <c r="G21" s="11"/>
      <c r="H21" s="7"/>
    </row>
    <row r="22" spans="1:8" x14ac:dyDescent="0.3">
      <c r="A22" s="7">
        <v>17</v>
      </c>
      <c r="B22" s="8" t="s">
        <v>43</v>
      </c>
      <c r="C22" s="9">
        <v>0</v>
      </c>
      <c r="D22" s="9">
        <v>0</v>
      </c>
      <c r="E22" s="7">
        <v>0</v>
      </c>
      <c r="F22" s="10" t="s">
        <v>25</v>
      </c>
      <c r="G22" s="11"/>
      <c r="H22" s="7"/>
    </row>
    <row r="23" spans="1:8" x14ac:dyDescent="0.3">
      <c r="A23" s="7">
        <v>18</v>
      </c>
      <c r="B23" s="8" t="s">
        <v>44</v>
      </c>
      <c r="C23" s="9">
        <v>0</v>
      </c>
      <c r="D23" s="9">
        <v>0</v>
      </c>
      <c r="E23" s="7">
        <v>0</v>
      </c>
      <c r="F23" s="10" t="s">
        <v>25</v>
      </c>
      <c r="G23" s="11"/>
      <c r="H23" s="7"/>
    </row>
    <row r="24" spans="1:8" x14ac:dyDescent="0.3">
      <c r="A24" s="7">
        <v>19</v>
      </c>
      <c r="B24" s="8" t="s">
        <v>45</v>
      </c>
      <c r="C24" s="9">
        <v>0</v>
      </c>
      <c r="D24" s="9">
        <v>0</v>
      </c>
      <c r="E24" s="7">
        <v>0</v>
      </c>
      <c r="F24" s="10" t="s">
        <v>25</v>
      </c>
      <c r="G24" s="11"/>
      <c r="H24" s="7"/>
    </row>
    <row r="25" spans="1:8" x14ac:dyDescent="0.3">
      <c r="A25" s="7">
        <v>20</v>
      </c>
      <c r="B25" s="8" t="s">
        <v>46</v>
      </c>
      <c r="C25" s="9">
        <v>0</v>
      </c>
      <c r="D25" s="9">
        <v>0</v>
      </c>
      <c r="E25" s="7">
        <v>0</v>
      </c>
      <c r="F25" s="10" t="s">
        <v>25</v>
      </c>
      <c r="G25" s="11"/>
      <c r="H25" s="7"/>
    </row>
    <row r="26" spans="1:8" x14ac:dyDescent="0.3">
      <c r="A26" s="7">
        <v>21</v>
      </c>
      <c r="B26" s="8" t="s">
        <v>47</v>
      </c>
      <c r="C26" s="9">
        <v>0</v>
      </c>
      <c r="D26" s="9">
        <v>0</v>
      </c>
      <c r="E26" s="7">
        <v>0</v>
      </c>
      <c r="F26" s="10" t="s">
        <v>25</v>
      </c>
      <c r="G26" s="11"/>
      <c r="H26" s="7"/>
    </row>
    <row r="27" spans="1:8" x14ac:dyDescent="0.3">
      <c r="A27" s="7">
        <v>22</v>
      </c>
      <c r="B27" s="8" t="s">
        <v>48</v>
      </c>
      <c r="C27" s="9">
        <v>0</v>
      </c>
      <c r="D27" s="9">
        <v>0</v>
      </c>
      <c r="E27" s="7">
        <v>0</v>
      </c>
      <c r="F27" s="10" t="s">
        <v>25</v>
      </c>
      <c r="G27" s="11"/>
      <c r="H27" s="7"/>
    </row>
    <row r="28" spans="1:8" x14ac:dyDescent="0.3">
      <c r="A28" s="7">
        <v>23</v>
      </c>
      <c r="B28" s="8" t="s">
        <v>49</v>
      </c>
      <c r="C28" s="9">
        <v>0</v>
      </c>
      <c r="D28" s="9">
        <v>0</v>
      </c>
      <c r="E28" s="7">
        <v>0</v>
      </c>
      <c r="F28" s="10" t="s">
        <v>25</v>
      </c>
      <c r="G28" s="11"/>
      <c r="H28" s="7"/>
    </row>
    <row r="29" spans="1:8" x14ac:dyDescent="0.3">
      <c r="A29" s="7">
        <v>24</v>
      </c>
      <c r="B29" s="8" t="s">
        <v>50</v>
      </c>
      <c r="C29" s="9">
        <v>0</v>
      </c>
      <c r="D29" s="9">
        <v>0</v>
      </c>
      <c r="E29" s="7">
        <v>0</v>
      </c>
      <c r="F29" s="10" t="s">
        <v>25</v>
      </c>
      <c r="G29" s="11"/>
      <c r="H29" s="7"/>
    </row>
    <row r="30" spans="1:8" x14ac:dyDescent="0.3">
      <c r="A30" s="7">
        <v>25</v>
      </c>
      <c r="B30" s="8" t="s">
        <v>51</v>
      </c>
      <c r="C30" s="9">
        <v>0</v>
      </c>
      <c r="D30" s="9">
        <v>0</v>
      </c>
      <c r="E30" s="7">
        <v>0</v>
      </c>
      <c r="F30" s="10" t="s">
        <v>25</v>
      </c>
      <c r="G30" s="11"/>
      <c r="H30" s="7"/>
    </row>
    <row r="31" spans="1:8" x14ac:dyDescent="0.3">
      <c r="A31" s="7">
        <v>26</v>
      </c>
      <c r="B31" s="8" t="s">
        <v>52</v>
      </c>
      <c r="C31" s="9">
        <v>0</v>
      </c>
      <c r="D31" s="9">
        <v>0</v>
      </c>
      <c r="E31" s="7">
        <v>0</v>
      </c>
      <c r="F31" s="10" t="s">
        <v>25</v>
      </c>
      <c r="G31" s="11"/>
      <c r="H31" s="7"/>
    </row>
    <row r="32" spans="1:8" x14ac:dyDescent="0.3">
      <c r="A32" s="7">
        <v>27</v>
      </c>
      <c r="B32" s="8" t="s">
        <v>53</v>
      </c>
      <c r="C32" s="9">
        <v>0</v>
      </c>
      <c r="D32" s="9">
        <v>0</v>
      </c>
      <c r="E32" s="7">
        <v>0</v>
      </c>
      <c r="F32" s="10" t="s">
        <v>25</v>
      </c>
      <c r="G32" s="11"/>
      <c r="H32" s="7"/>
    </row>
    <row r="33" spans="1:8" x14ac:dyDescent="0.3">
      <c r="A33" s="7">
        <v>28</v>
      </c>
      <c r="B33" s="8" t="s">
        <v>54</v>
      </c>
      <c r="C33" s="9">
        <v>0</v>
      </c>
      <c r="D33" s="9">
        <v>0</v>
      </c>
      <c r="E33" s="7">
        <v>0</v>
      </c>
      <c r="F33" s="10" t="s">
        <v>25</v>
      </c>
      <c r="G33" s="11"/>
      <c r="H33" s="7"/>
    </row>
    <row r="34" spans="1:8" x14ac:dyDescent="0.3">
      <c r="A34" s="7">
        <v>29</v>
      </c>
      <c r="B34" s="8" t="s">
        <v>55</v>
      </c>
      <c r="C34" s="9">
        <v>0</v>
      </c>
      <c r="D34" s="9">
        <v>0</v>
      </c>
      <c r="E34" s="7">
        <v>0</v>
      </c>
      <c r="F34" s="10" t="s">
        <v>25</v>
      </c>
      <c r="G34" s="11"/>
      <c r="H34" s="7"/>
    </row>
    <row r="35" spans="1:8" x14ac:dyDescent="0.3">
      <c r="A35" s="7">
        <v>30</v>
      </c>
      <c r="B35" s="8" t="s">
        <v>56</v>
      </c>
      <c r="C35" s="9">
        <v>0</v>
      </c>
      <c r="D35" s="9">
        <v>0</v>
      </c>
      <c r="E35" s="7">
        <v>0</v>
      </c>
      <c r="F35" s="10" t="s">
        <v>25</v>
      </c>
      <c r="G35" s="11"/>
      <c r="H35" s="7"/>
    </row>
    <row r="36" spans="1:8" x14ac:dyDescent="0.3">
      <c r="A36" s="7">
        <v>31</v>
      </c>
      <c r="B36" s="8" t="s">
        <v>57</v>
      </c>
      <c r="C36" s="9">
        <v>0</v>
      </c>
      <c r="D36" s="9">
        <v>0</v>
      </c>
      <c r="E36" s="7">
        <v>0</v>
      </c>
      <c r="F36" s="10" t="s">
        <v>25</v>
      </c>
      <c r="G36" s="11"/>
      <c r="H36" s="7"/>
    </row>
    <row r="37" spans="1:8" x14ac:dyDescent="0.3">
      <c r="A37" s="7">
        <v>32</v>
      </c>
      <c r="B37" s="8" t="s">
        <v>58</v>
      </c>
      <c r="C37" s="9">
        <v>0</v>
      </c>
      <c r="D37" s="9">
        <v>0</v>
      </c>
      <c r="E37" s="7">
        <v>0</v>
      </c>
      <c r="F37" s="10" t="s">
        <v>25</v>
      </c>
      <c r="G37" s="11"/>
      <c r="H37" s="7"/>
    </row>
    <row r="38" spans="1:8" x14ac:dyDescent="0.3">
      <c r="A38" s="7">
        <v>33</v>
      </c>
      <c r="B38" s="8" t="s">
        <v>59</v>
      </c>
      <c r="C38" s="9">
        <v>0</v>
      </c>
      <c r="D38" s="9">
        <v>0</v>
      </c>
      <c r="E38" s="7">
        <v>0</v>
      </c>
      <c r="F38" s="10" t="s">
        <v>25</v>
      </c>
      <c r="G38" s="11" t="s">
        <v>60</v>
      </c>
      <c r="H38" s="7"/>
    </row>
    <row r="39" spans="1:8" x14ac:dyDescent="0.3">
      <c r="A39" s="12">
        <v>34</v>
      </c>
      <c r="B39" s="13" t="s">
        <v>61</v>
      </c>
      <c r="C39" s="14">
        <v>14.000999999999999</v>
      </c>
      <c r="D39" s="15">
        <v>0.34200000000000003</v>
      </c>
      <c r="E39" s="12">
        <v>5.0869999999999997</v>
      </c>
      <c r="F39" s="16" t="s">
        <v>62</v>
      </c>
      <c r="G39" s="17" t="s">
        <v>63</v>
      </c>
      <c r="H39" s="12"/>
    </row>
    <row r="40" spans="1:8" x14ac:dyDescent="0.3">
      <c r="A40" s="12">
        <v>35</v>
      </c>
      <c r="B40" s="13" t="s">
        <v>64</v>
      </c>
      <c r="C40" s="14">
        <v>18.001000000000001</v>
      </c>
      <c r="D40" s="15">
        <v>0.43969999999999998</v>
      </c>
      <c r="E40" s="12">
        <v>6.54</v>
      </c>
      <c r="F40" s="16" t="s">
        <v>62</v>
      </c>
      <c r="G40" s="17"/>
      <c r="H40" s="12"/>
    </row>
    <row r="41" spans="1:8" x14ac:dyDescent="0.3">
      <c r="A41" s="12">
        <v>36</v>
      </c>
      <c r="B41" s="13" t="s">
        <v>65</v>
      </c>
      <c r="C41" s="14">
        <v>23.998999999999999</v>
      </c>
      <c r="D41" s="15">
        <v>0.58620000000000005</v>
      </c>
      <c r="E41" s="12">
        <v>8.718</v>
      </c>
      <c r="F41" s="16" t="s">
        <v>62</v>
      </c>
      <c r="G41" s="17"/>
      <c r="H41" s="12"/>
    </row>
    <row r="42" spans="1:8" x14ac:dyDescent="0.3">
      <c r="A42" s="12">
        <v>37</v>
      </c>
      <c r="B42" s="13" t="s">
        <v>66</v>
      </c>
      <c r="C42" s="14">
        <v>30.001000000000001</v>
      </c>
      <c r="D42" s="15">
        <v>0.73280000000000001</v>
      </c>
      <c r="E42" s="12">
        <v>10.898999999999999</v>
      </c>
      <c r="F42" s="16" t="s">
        <v>62</v>
      </c>
      <c r="G42" s="17"/>
      <c r="H42" s="12"/>
    </row>
    <row r="43" spans="1:8" x14ac:dyDescent="0.3">
      <c r="A43" s="12">
        <v>38</v>
      </c>
      <c r="B43" s="13" t="s">
        <v>67</v>
      </c>
      <c r="C43" s="14">
        <v>35</v>
      </c>
      <c r="D43" s="15">
        <v>0.85489999999999999</v>
      </c>
      <c r="E43" s="12">
        <v>12.715</v>
      </c>
      <c r="F43" s="16" t="s">
        <v>62</v>
      </c>
      <c r="G43" s="17"/>
      <c r="H43" s="12"/>
    </row>
    <row r="44" spans="1:8" x14ac:dyDescent="0.3">
      <c r="A44" s="12">
        <v>39</v>
      </c>
      <c r="B44" s="13" t="s">
        <v>68</v>
      </c>
      <c r="C44" s="13">
        <v>37.002000000000002</v>
      </c>
      <c r="D44" s="15">
        <v>0.90380000000000005</v>
      </c>
      <c r="E44" s="12">
        <v>13.442</v>
      </c>
      <c r="F44" s="16" t="s">
        <v>62</v>
      </c>
      <c r="G44" s="17"/>
      <c r="H44" s="12"/>
    </row>
    <row r="45" spans="1:8" x14ac:dyDescent="0.3">
      <c r="A45" s="12">
        <v>40</v>
      </c>
      <c r="B45" s="13" t="s">
        <v>69</v>
      </c>
      <c r="C45" s="13">
        <v>38.5</v>
      </c>
      <c r="D45" s="15">
        <v>0.94040000000000001</v>
      </c>
      <c r="E45" s="12">
        <v>13.986000000000001</v>
      </c>
      <c r="F45" s="16" t="s">
        <v>62</v>
      </c>
      <c r="G45" s="17"/>
      <c r="H45" s="12"/>
    </row>
    <row r="46" spans="1:8" x14ac:dyDescent="0.3">
      <c r="A46" s="12">
        <v>41</v>
      </c>
      <c r="B46" s="13" t="s">
        <v>70</v>
      </c>
      <c r="C46" s="13">
        <v>38.999000000000002</v>
      </c>
      <c r="D46" s="15">
        <v>0.9526</v>
      </c>
      <c r="E46" s="12">
        <v>14.167999999999999</v>
      </c>
      <c r="F46" s="16" t="s">
        <v>62</v>
      </c>
      <c r="G46" s="17"/>
      <c r="H46" s="12"/>
    </row>
    <row r="47" spans="1:8" x14ac:dyDescent="0.3">
      <c r="A47" s="12">
        <v>42</v>
      </c>
      <c r="B47" s="13" t="s">
        <v>71</v>
      </c>
      <c r="C47" s="13">
        <v>39.499000000000002</v>
      </c>
      <c r="D47" s="15">
        <v>0.96479999999999999</v>
      </c>
      <c r="E47" s="12">
        <v>14.349</v>
      </c>
      <c r="F47" s="16" t="s">
        <v>62</v>
      </c>
      <c r="G47" s="17"/>
      <c r="H47" s="12"/>
    </row>
    <row r="48" spans="1:8" x14ac:dyDescent="0.3">
      <c r="A48" s="12">
        <v>43</v>
      </c>
      <c r="B48" s="13" t="s">
        <v>72</v>
      </c>
      <c r="C48" s="13">
        <v>39.997999999999998</v>
      </c>
      <c r="D48" s="15">
        <v>0.97699999999999998</v>
      </c>
      <c r="E48" s="12">
        <v>14.531000000000001</v>
      </c>
      <c r="F48" s="16" t="s">
        <v>62</v>
      </c>
      <c r="G48" s="17"/>
      <c r="H48" s="12"/>
    </row>
    <row r="49" spans="1:8" x14ac:dyDescent="0.3">
      <c r="A49" s="12">
        <v>44</v>
      </c>
      <c r="B49" s="13" t="s">
        <v>73</v>
      </c>
      <c r="C49" s="13">
        <v>39.997999999999998</v>
      </c>
      <c r="D49" s="15">
        <v>0.97699999999999998</v>
      </c>
      <c r="E49" s="12">
        <v>14.531000000000001</v>
      </c>
      <c r="F49" s="16" t="s">
        <v>62</v>
      </c>
      <c r="G49" s="17" t="s">
        <v>74</v>
      </c>
      <c r="H49" s="12"/>
    </row>
    <row r="50" spans="1:8" x14ac:dyDescent="0.3">
      <c r="A50" s="12">
        <v>45</v>
      </c>
      <c r="B50" s="13" t="s">
        <v>75</v>
      </c>
      <c r="C50" s="13">
        <v>39.499000000000002</v>
      </c>
      <c r="D50" s="15">
        <v>0.96479999999999999</v>
      </c>
      <c r="E50" s="12">
        <v>14.349</v>
      </c>
      <c r="F50" s="16" t="s">
        <v>62</v>
      </c>
      <c r="G50" s="17"/>
      <c r="H50" s="12"/>
    </row>
    <row r="51" spans="1:8" x14ac:dyDescent="0.3">
      <c r="A51" s="12">
        <v>46</v>
      </c>
      <c r="B51" s="13" t="s">
        <v>76</v>
      </c>
      <c r="C51" s="13">
        <v>38.999000000000002</v>
      </c>
      <c r="D51" s="15">
        <v>0.9526</v>
      </c>
      <c r="E51" s="12">
        <v>14.167999999999999</v>
      </c>
      <c r="F51" s="16" t="s">
        <v>62</v>
      </c>
      <c r="G51" s="17"/>
      <c r="H51" s="12"/>
    </row>
    <row r="52" spans="1:8" x14ac:dyDescent="0.3">
      <c r="A52" s="12">
        <v>47</v>
      </c>
      <c r="B52" s="13" t="s">
        <v>77</v>
      </c>
      <c r="C52" s="13">
        <v>38.5</v>
      </c>
      <c r="D52" s="15">
        <v>0.94040000000000001</v>
      </c>
      <c r="E52" s="12">
        <v>13.986000000000001</v>
      </c>
      <c r="F52" s="16" t="s">
        <v>62</v>
      </c>
      <c r="G52" s="17"/>
      <c r="H52" s="12"/>
    </row>
    <row r="53" spans="1:8" x14ac:dyDescent="0.3">
      <c r="A53" s="12">
        <v>48</v>
      </c>
      <c r="B53" s="13" t="s">
        <v>78</v>
      </c>
      <c r="C53" s="14">
        <v>31.998999999999999</v>
      </c>
      <c r="D53" s="15">
        <v>0.78159999999999996</v>
      </c>
      <c r="E53" s="12">
        <v>11.625</v>
      </c>
      <c r="F53" s="16" t="s">
        <v>62</v>
      </c>
      <c r="G53" s="17" t="s">
        <v>79</v>
      </c>
      <c r="H53" s="12"/>
    </row>
    <row r="54" spans="1:8" x14ac:dyDescent="0.3">
      <c r="A54" s="12">
        <v>49</v>
      </c>
      <c r="B54" s="13" t="s">
        <v>80</v>
      </c>
      <c r="C54" s="14">
        <v>22.001000000000001</v>
      </c>
      <c r="D54" s="15">
        <v>0.53739999999999999</v>
      </c>
      <c r="E54" s="12">
        <v>7.9930000000000003</v>
      </c>
      <c r="F54" s="16" t="s">
        <v>62</v>
      </c>
      <c r="G54" s="17" t="s">
        <v>81</v>
      </c>
      <c r="H54" s="12"/>
    </row>
    <row r="55" spans="1:8" x14ac:dyDescent="0.3">
      <c r="A55" s="18">
        <v>50</v>
      </c>
      <c r="B55" s="19" t="s">
        <v>82</v>
      </c>
      <c r="C55" s="20">
        <v>34.807000000000002</v>
      </c>
      <c r="D55" s="21">
        <v>0.85019999999999996</v>
      </c>
      <c r="E55" s="18">
        <v>12.645</v>
      </c>
      <c r="F55" s="22" t="s">
        <v>83</v>
      </c>
      <c r="G55" s="23"/>
      <c r="H55" s="18"/>
    </row>
    <row r="56" spans="1:8" x14ac:dyDescent="0.3">
      <c r="A56" s="18">
        <v>51</v>
      </c>
      <c r="B56" s="19" t="s">
        <v>84</v>
      </c>
      <c r="C56" s="19">
        <v>39.9</v>
      </c>
      <c r="D56" s="21">
        <v>0.97460000000000002</v>
      </c>
      <c r="E56" s="18">
        <v>14.494999999999999</v>
      </c>
      <c r="F56" s="22" t="s">
        <v>83</v>
      </c>
      <c r="G56" s="23" t="s">
        <v>85</v>
      </c>
      <c r="H56" s="18"/>
    </row>
    <row r="57" spans="1:8" x14ac:dyDescent="0.3">
      <c r="A57" s="18">
        <v>52</v>
      </c>
      <c r="B57" s="19" t="s">
        <v>86</v>
      </c>
      <c r="C57" s="19">
        <v>38.491999999999997</v>
      </c>
      <c r="D57" s="21">
        <v>0.94020000000000004</v>
      </c>
      <c r="E57" s="18">
        <v>13.983000000000001</v>
      </c>
      <c r="F57" s="22" t="s">
        <v>83</v>
      </c>
      <c r="G57" s="23"/>
      <c r="H57" s="18"/>
    </row>
    <row r="58" spans="1:8" x14ac:dyDescent="0.3">
      <c r="A58" s="18">
        <v>53</v>
      </c>
      <c r="B58" s="19" t="s">
        <v>87</v>
      </c>
      <c r="C58" s="19">
        <v>37.423000000000002</v>
      </c>
      <c r="D58" s="21">
        <v>0.91410000000000002</v>
      </c>
      <c r="E58" s="18">
        <v>13.595000000000001</v>
      </c>
      <c r="F58" s="22" t="s">
        <v>83</v>
      </c>
      <c r="G58" s="23"/>
      <c r="H58" s="18"/>
    </row>
    <row r="59" spans="1:8" x14ac:dyDescent="0.3">
      <c r="A59" s="18">
        <v>54</v>
      </c>
      <c r="B59" s="19" t="s">
        <v>88</v>
      </c>
      <c r="C59" s="20">
        <v>35.555999999999997</v>
      </c>
      <c r="D59" s="21">
        <v>0.86850000000000005</v>
      </c>
      <c r="E59" s="18">
        <v>12.917</v>
      </c>
      <c r="F59" s="22" t="s">
        <v>83</v>
      </c>
      <c r="G59" s="23"/>
      <c r="H59" s="18"/>
    </row>
    <row r="60" spans="1:8" x14ac:dyDescent="0.3">
      <c r="A60" s="18">
        <v>55</v>
      </c>
      <c r="B60" s="19" t="s">
        <v>89</v>
      </c>
      <c r="C60" s="20">
        <v>33.35</v>
      </c>
      <c r="D60" s="21">
        <v>0.81459999999999999</v>
      </c>
      <c r="E60" s="18">
        <v>12.115</v>
      </c>
      <c r="F60" s="22" t="s">
        <v>83</v>
      </c>
      <c r="G60" s="23"/>
      <c r="H60" s="18"/>
    </row>
    <row r="61" spans="1:8" x14ac:dyDescent="0.3">
      <c r="A61" s="18">
        <v>56</v>
      </c>
      <c r="B61" s="19" t="s">
        <v>90</v>
      </c>
      <c r="C61" s="20">
        <v>33.500999999999998</v>
      </c>
      <c r="D61" s="21">
        <v>0.81830000000000003</v>
      </c>
      <c r="E61" s="18">
        <v>12.17</v>
      </c>
      <c r="F61" s="22" t="s">
        <v>83</v>
      </c>
      <c r="G61" s="23"/>
      <c r="H61" s="18"/>
    </row>
    <row r="62" spans="1:8" x14ac:dyDescent="0.3">
      <c r="A62" s="18">
        <v>57</v>
      </c>
      <c r="B62" s="19" t="s">
        <v>91</v>
      </c>
      <c r="C62" s="20">
        <v>31.475000000000001</v>
      </c>
      <c r="D62" s="21">
        <v>0.76880000000000004</v>
      </c>
      <c r="E62" s="18">
        <v>11.433999999999999</v>
      </c>
      <c r="F62" s="22" t="s">
        <v>83</v>
      </c>
      <c r="G62" s="23"/>
      <c r="H62" s="18"/>
    </row>
    <row r="63" spans="1:8" x14ac:dyDescent="0.3">
      <c r="A63" s="18">
        <v>58</v>
      </c>
      <c r="B63" s="19" t="s">
        <v>92</v>
      </c>
      <c r="C63" s="20">
        <v>27.658999999999999</v>
      </c>
      <c r="D63" s="21">
        <v>0.67559999999999998</v>
      </c>
      <c r="E63" s="18">
        <v>10.048</v>
      </c>
      <c r="F63" s="22" t="s">
        <v>83</v>
      </c>
      <c r="G63" s="23" t="s">
        <v>93</v>
      </c>
      <c r="H63" s="18"/>
    </row>
    <row r="64" spans="1:8" x14ac:dyDescent="0.3">
      <c r="A64" s="18">
        <v>59</v>
      </c>
      <c r="B64" s="19" t="s">
        <v>94</v>
      </c>
      <c r="C64" s="20">
        <v>26.853000000000002</v>
      </c>
      <c r="D64" s="21">
        <v>0.65590000000000004</v>
      </c>
      <c r="E64" s="18">
        <v>9.7550000000000008</v>
      </c>
      <c r="F64" s="22" t="s">
        <v>83</v>
      </c>
      <c r="G64" s="23"/>
      <c r="H64" s="18"/>
    </row>
    <row r="65" spans="1:8" x14ac:dyDescent="0.3">
      <c r="A65" s="18">
        <v>60</v>
      </c>
      <c r="B65" s="19" t="s">
        <v>95</v>
      </c>
      <c r="C65" s="20">
        <v>26.251000000000001</v>
      </c>
      <c r="D65" s="21">
        <v>0.64119999999999999</v>
      </c>
      <c r="E65" s="18">
        <v>9.5359999999999996</v>
      </c>
      <c r="F65" s="22" t="s">
        <v>83</v>
      </c>
      <c r="G65" s="23"/>
      <c r="H65" s="18"/>
    </row>
    <row r="66" spans="1:8" x14ac:dyDescent="0.3">
      <c r="A66" s="18">
        <v>61</v>
      </c>
      <c r="B66" s="19" t="s">
        <v>96</v>
      </c>
      <c r="C66" s="20">
        <v>22.111999999999998</v>
      </c>
      <c r="D66" s="21">
        <v>0.54010000000000002</v>
      </c>
      <c r="E66" s="18">
        <v>8.0329999999999995</v>
      </c>
      <c r="F66" s="22" t="s">
        <v>83</v>
      </c>
      <c r="G66" s="23"/>
      <c r="H66" s="18"/>
    </row>
    <row r="67" spans="1:8" x14ac:dyDescent="0.3">
      <c r="A67" s="18">
        <v>62</v>
      </c>
      <c r="B67" s="19" t="s">
        <v>97</v>
      </c>
      <c r="C67" s="20">
        <v>21.539000000000001</v>
      </c>
      <c r="D67" s="21">
        <v>0.52610000000000001</v>
      </c>
      <c r="E67" s="18">
        <v>7.8250000000000002</v>
      </c>
      <c r="F67" s="22" t="s">
        <v>83</v>
      </c>
      <c r="G67" s="23"/>
      <c r="H67" s="18"/>
    </row>
    <row r="68" spans="1:8" x14ac:dyDescent="0.3">
      <c r="A68" s="18">
        <v>63</v>
      </c>
      <c r="B68" s="19" t="s">
        <v>98</v>
      </c>
      <c r="C68" s="20">
        <v>21.861999999999998</v>
      </c>
      <c r="D68" s="21">
        <v>0.53400000000000003</v>
      </c>
      <c r="E68" s="18">
        <v>7.9420000000000002</v>
      </c>
      <c r="F68" s="22" t="s">
        <v>83</v>
      </c>
      <c r="G68" s="23"/>
      <c r="H68" s="18"/>
    </row>
    <row r="69" spans="1:8" x14ac:dyDescent="0.3">
      <c r="A69" s="18">
        <v>64</v>
      </c>
      <c r="B69" s="19" t="s">
        <v>99</v>
      </c>
      <c r="C69" s="20">
        <v>21.817</v>
      </c>
      <c r="D69" s="21">
        <v>0.53290000000000004</v>
      </c>
      <c r="E69" s="18">
        <v>7.9260000000000002</v>
      </c>
      <c r="F69" s="22" t="s">
        <v>83</v>
      </c>
      <c r="G69" s="23"/>
      <c r="H69" s="18"/>
    </row>
    <row r="70" spans="1:8" x14ac:dyDescent="0.3">
      <c r="A70" s="18">
        <v>65</v>
      </c>
      <c r="B70" s="19" t="s">
        <v>100</v>
      </c>
      <c r="C70" s="20">
        <v>21.382999999999999</v>
      </c>
      <c r="D70" s="21">
        <v>0.52229999999999999</v>
      </c>
      <c r="E70" s="18">
        <v>7.7679999999999998</v>
      </c>
      <c r="F70" s="22" t="s">
        <v>83</v>
      </c>
      <c r="G70" s="23" t="s">
        <v>101</v>
      </c>
      <c r="H70" s="18"/>
    </row>
    <row r="71" spans="1:8" x14ac:dyDescent="0.3">
      <c r="A71" s="7">
        <v>66</v>
      </c>
      <c r="B71" s="8" t="s">
        <v>102</v>
      </c>
      <c r="C71" s="9">
        <v>0</v>
      </c>
      <c r="D71" s="9">
        <v>0</v>
      </c>
      <c r="E71" s="7">
        <v>0</v>
      </c>
      <c r="F71" s="10" t="s">
        <v>25</v>
      </c>
      <c r="G71" s="11" t="s">
        <v>103</v>
      </c>
      <c r="H71" s="7"/>
    </row>
    <row r="72" spans="1:8" x14ac:dyDescent="0.3">
      <c r="A72" s="7">
        <v>67</v>
      </c>
      <c r="B72" s="8" t="s">
        <v>104</v>
      </c>
      <c r="C72" s="9">
        <v>0</v>
      </c>
      <c r="D72" s="9">
        <v>0</v>
      </c>
      <c r="E72" s="7">
        <v>0</v>
      </c>
      <c r="F72" s="10" t="s">
        <v>25</v>
      </c>
      <c r="G72" s="11"/>
      <c r="H72" s="7"/>
    </row>
    <row r="73" spans="1:8" x14ac:dyDescent="0.3">
      <c r="A73" s="7">
        <v>68</v>
      </c>
      <c r="B73" s="8" t="s">
        <v>105</v>
      </c>
      <c r="C73" s="9">
        <v>0</v>
      </c>
      <c r="D73" s="9">
        <v>0</v>
      </c>
      <c r="E73" s="7">
        <v>0</v>
      </c>
      <c r="F73" s="10" t="s">
        <v>25</v>
      </c>
      <c r="G73" s="11"/>
      <c r="H73" s="7"/>
    </row>
    <row r="74" spans="1:8" x14ac:dyDescent="0.3">
      <c r="A74" s="7">
        <v>69</v>
      </c>
      <c r="B74" s="8" t="s">
        <v>106</v>
      </c>
      <c r="C74" s="9">
        <v>0</v>
      </c>
      <c r="D74" s="9">
        <v>0</v>
      </c>
      <c r="E74" s="7">
        <v>0</v>
      </c>
      <c r="F74" s="10" t="s">
        <v>25</v>
      </c>
      <c r="G74" s="11"/>
      <c r="H74" s="7"/>
    </row>
    <row r="75" spans="1:8" x14ac:dyDescent="0.3">
      <c r="A75" s="7">
        <v>70</v>
      </c>
      <c r="B75" s="8" t="s">
        <v>107</v>
      </c>
      <c r="C75" s="9">
        <v>0</v>
      </c>
      <c r="D75" s="9">
        <v>0</v>
      </c>
      <c r="E75" s="7">
        <v>0</v>
      </c>
      <c r="F75" s="10" t="s">
        <v>25</v>
      </c>
      <c r="G75" s="11"/>
      <c r="H75" s="7"/>
    </row>
    <row r="76" spans="1:8" x14ac:dyDescent="0.3">
      <c r="A76" s="7">
        <v>71</v>
      </c>
      <c r="B76" s="8" t="s">
        <v>108</v>
      </c>
      <c r="C76" s="9">
        <v>0</v>
      </c>
      <c r="D76" s="9">
        <v>0</v>
      </c>
      <c r="E76" s="7">
        <v>0</v>
      </c>
      <c r="F76" s="10" t="s">
        <v>25</v>
      </c>
      <c r="G76" s="11"/>
      <c r="H76" s="7"/>
    </row>
    <row r="77" spans="1:8" x14ac:dyDescent="0.3">
      <c r="A77" s="7">
        <v>72</v>
      </c>
      <c r="B77" s="8" t="s">
        <v>109</v>
      </c>
      <c r="C77" s="9">
        <v>0</v>
      </c>
      <c r="D77" s="9">
        <v>0</v>
      </c>
      <c r="E77" s="7">
        <v>0</v>
      </c>
      <c r="F77" s="10" t="s">
        <v>25</v>
      </c>
      <c r="G77" s="11"/>
      <c r="H77" s="7"/>
    </row>
    <row r="78" spans="1:8" x14ac:dyDescent="0.3">
      <c r="A78" s="7">
        <v>73</v>
      </c>
      <c r="B78" s="8" t="s">
        <v>110</v>
      </c>
      <c r="C78" s="9">
        <v>0</v>
      </c>
      <c r="D78" s="9">
        <v>0</v>
      </c>
      <c r="E78" s="7">
        <v>0</v>
      </c>
      <c r="F78" s="10" t="s">
        <v>25</v>
      </c>
      <c r="G78" s="11"/>
      <c r="H78" s="7"/>
    </row>
    <row r="79" spans="1:8" x14ac:dyDescent="0.3">
      <c r="A79" s="7">
        <v>74</v>
      </c>
      <c r="B79" s="8" t="s">
        <v>111</v>
      </c>
      <c r="C79" s="9">
        <v>0</v>
      </c>
      <c r="D79" s="9">
        <v>0</v>
      </c>
      <c r="E79" s="7">
        <v>0</v>
      </c>
      <c r="F79" s="10" t="s">
        <v>25</v>
      </c>
      <c r="G79" s="11"/>
      <c r="H79" s="7"/>
    </row>
    <row r="80" spans="1:8" x14ac:dyDescent="0.3">
      <c r="A80" s="7">
        <v>75</v>
      </c>
      <c r="B80" s="8" t="s">
        <v>112</v>
      </c>
      <c r="C80" s="9">
        <v>0</v>
      </c>
      <c r="D80" s="9">
        <v>0</v>
      </c>
      <c r="E80" s="7">
        <v>0</v>
      </c>
      <c r="F80" s="10" t="s">
        <v>25</v>
      </c>
      <c r="G80" s="11"/>
      <c r="H80" s="7"/>
    </row>
    <row r="81" spans="1:8" x14ac:dyDescent="0.3">
      <c r="A81" s="7">
        <v>76</v>
      </c>
      <c r="B81" s="8" t="s">
        <v>113</v>
      </c>
      <c r="C81" s="9">
        <v>0</v>
      </c>
      <c r="D81" s="9">
        <v>0</v>
      </c>
      <c r="E81" s="7">
        <v>0</v>
      </c>
      <c r="F81" s="10" t="s">
        <v>25</v>
      </c>
      <c r="G81" s="11"/>
      <c r="H81" s="7"/>
    </row>
    <row r="82" spans="1:8" x14ac:dyDescent="0.3">
      <c r="A82" s="7">
        <v>77</v>
      </c>
      <c r="B82" s="8" t="s">
        <v>114</v>
      </c>
      <c r="C82" s="9">
        <v>0</v>
      </c>
      <c r="D82" s="9">
        <v>0</v>
      </c>
      <c r="E82" s="7">
        <v>0</v>
      </c>
      <c r="F82" s="10" t="s">
        <v>25</v>
      </c>
      <c r="G82" s="11"/>
      <c r="H82" s="7"/>
    </row>
    <row r="83" spans="1:8" x14ac:dyDescent="0.3">
      <c r="A83" s="7">
        <v>78</v>
      </c>
      <c r="B83" s="8" t="s">
        <v>115</v>
      </c>
      <c r="C83" s="9">
        <v>0</v>
      </c>
      <c r="D83" s="9">
        <v>0</v>
      </c>
      <c r="E83" s="7">
        <v>0</v>
      </c>
      <c r="F83" s="10" t="s">
        <v>25</v>
      </c>
      <c r="G83" s="11"/>
      <c r="H83" s="7"/>
    </row>
    <row r="84" spans="1:8" x14ac:dyDescent="0.3">
      <c r="A84" s="7">
        <v>79</v>
      </c>
      <c r="B84" s="8" t="s">
        <v>116</v>
      </c>
      <c r="C84" s="9">
        <v>0</v>
      </c>
      <c r="D84" s="9">
        <v>0</v>
      </c>
      <c r="E84" s="7">
        <v>0</v>
      </c>
      <c r="F84" s="10" t="s">
        <v>25</v>
      </c>
      <c r="G84" s="11"/>
      <c r="H84" s="7"/>
    </row>
    <row r="85" spans="1:8" x14ac:dyDescent="0.3">
      <c r="A85" s="7">
        <v>80</v>
      </c>
      <c r="B85" s="8" t="s">
        <v>117</v>
      </c>
      <c r="C85" s="9">
        <v>0</v>
      </c>
      <c r="D85" s="9">
        <v>0</v>
      </c>
      <c r="E85" s="7">
        <v>0</v>
      </c>
      <c r="F85" s="10" t="s">
        <v>25</v>
      </c>
      <c r="G85" s="11"/>
      <c r="H85" s="7"/>
    </row>
    <row r="86" spans="1:8" x14ac:dyDescent="0.3">
      <c r="A86" s="7">
        <v>81</v>
      </c>
      <c r="B86" s="8" t="s">
        <v>118</v>
      </c>
      <c r="C86" s="9">
        <v>0</v>
      </c>
      <c r="D86" s="9">
        <v>0</v>
      </c>
      <c r="E86" s="7">
        <v>0</v>
      </c>
      <c r="F86" s="10" t="s">
        <v>25</v>
      </c>
      <c r="G86" s="11"/>
      <c r="H86" s="7"/>
    </row>
    <row r="87" spans="1:8" x14ac:dyDescent="0.3">
      <c r="A87" s="7">
        <v>82</v>
      </c>
      <c r="B87" s="8" t="s">
        <v>119</v>
      </c>
      <c r="C87" s="9">
        <v>0</v>
      </c>
      <c r="D87" s="9">
        <v>0</v>
      </c>
      <c r="E87" s="7">
        <v>0</v>
      </c>
      <c r="F87" s="10" t="s">
        <v>25</v>
      </c>
      <c r="G87" s="11"/>
      <c r="H87" s="7"/>
    </row>
    <row r="88" spans="1:8" x14ac:dyDescent="0.3">
      <c r="A88" s="7">
        <v>83</v>
      </c>
      <c r="B88" s="8" t="s">
        <v>120</v>
      </c>
      <c r="C88" s="9">
        <v>0</v>
      </c>
      <c r="D88" s="9">
        <v>0</v>
      </c>
      <c r="E88" s="7">
        <v>0</v>
      </c>
      <c r="F88" s="10" t="s">
        <v>25</v>
      </c>
      <c r="G88" s="11"/>
      <c r="H88" s="7"/>
    </row>
    <row r="89" spans="1:8" x14ac:dyDescent="0.3">
      <c r="A89" s="7">
        <v>84</v>
      </c>
      <c r="B89" s="8" t="s">
        <v>121</v>
      </c>
      <c r="C89" s="9">
        <v>0</v>
      </c>
      <c r="D89" s="9">
        <v>0</v>
      </c>
      <c r="E89" s="7">
        <v>0</v>
      </c>
      <c r="F89" s="10" t="s">
        <v>25</v>
      </c>
      <c r="G89" s="11"/>
      <c r="H89" s="7"/>
    </row>
    <row r="90" spans="1:8" x14ac:dyDescent="0.3">
      <c r="A90" s="7">
        <v>85</v>
      </c>
      <c r="B90" s="8" t="s">
        <v>122</v>
      </c>
      <c r="C90" s="9">
        <v>0</v>
      </c>
      <c r="D90" s="9">
        <v>0</v>
      </c>
      <c r="E90" s="7">
        <v>0</v>
      </c>
      <c r="F90" s="10" t="s">
        <v>25</v>
      </c>
      <c r="G90" s="11"/>
      <c r="H90" s="7"/>
    </row>
    <row r="91" spans="1:8" x14ac:dyDescent="0.3">
      <c r="A91" s="7">
        <v>86</v>
      </c>
      <c r="B91" s="8" t="s">
        <v>123</v>
      </c>
      <c r="C91" s="9">
        <v>0</v>
      </c>
      <c r="D91" s="9">
        <v>0</v>
      </c>
      <c r="E91" s="7">
        <v>0</v>
      </c>
      <c r="F91" s="10" t="s">
        <v>25</v>
      </c>
      <c r="G91" s="11"/>
      <c r="H91" s="7"/>
    </row>
    <row r="92" spans="1:8" x14ac:dyDescent="0.3">
      <c r="A92" s="7">
        <v>87</v>
      </c>
      <c r="B92" s="8" t="s">
        <v>124</v>
      </c>
      <c r="C92" s="9">
        <v>0</v>
      </c>
      <c r="D92" s="9">
        <v>0</v>
      </c>
      <c r="E92" s="7">
        <v>0</v>
      </c>
      <c r="F92" s="10" t="s">
        <v>25</v>
      </c>
      <c r="G92" s="11"/>
      <c r="H92" s="7"/>
    </row>
    <row r="93" spans="1:8" x14ac:dyDescent="0.3">
      <c r="A93" s="7">
        <v>88</v>
      </c>
      <c r="B93" s="8" t="s">
        <v>125</v>
      </c>
      <c r="C93" s="9">
        <v>0</v>
      </c>
      <c r="D93" s="9">
        <v>0</v>
      </c>
      <c r="E93" s="7">
        <v>0</v>
      </c>
      <c r="F93" s="10" t="s">
        <v>25</v>
      </c>
      <c r="G93" s="11"/>
      <c r="H93" s="7"/>
    </row>
    <row r="94" spans="1:8" x14ac:dyDescent="0.3">
      <c r="A94" s="7">
        <v>89</v>
      </c>
      <c r="B94" s="8" t="s">
        <v>126</v>
      </c>
      <c r="C94" s="9">
        <v>0</v>
      </c>
      <c r="D94" s="9">
        <v>0</v>
      </c>
      <c r="E94" s="7">
        <v>0</v>
      </c>
      <c r="F94" s="10" t="s">
        <v>25</v>
      </c>
      <c r="G94" s="11"/>
      <c r="H94" s="7"/>
    </row>
    <row r="95" spans="1:8" x14ac:dyDescent="0.3">
      <c r="A95" s="7">
        <v>90</v>
      </c>
      <c r="B95" s="8" t="s">
        <v>127</v>
      </c>
      <c r="C95" s="9">
        <v>0</v>
      </c>
      <c r="D95" s="9">
        <v>0</v>
      </c>
      <c r="E95" s="7">
        <v>0</v>
      </c>
      <c r="F95" s="10" t="s">
        <v>25</v>
      </c>
      <c r="G95" s="11"/>
      <c r="H95" s="7"/>
    </row>
    <row r="96" spans="1:8" x14ac:dyDescent="0.3">
      <c r="A96" s="7">
        <v>91</v>
      </c>
      <c r="B96" s="8" t="s">
        <v>128</v>
      </c>
      <c r="C96" s="9">
        <v>0</v>
      </c>
      <c r="D96" s="9">
        <v>0</v>
      </c>
      <c r="E96" s="7">
        <v>0</v>
      </c>
      <c r="F96" s="10" t="s">
        <v>25</v>
      </c>
      <c r="G96" s="11"/>
      <c r="H96" s="7"/>
    </row>
    <row r="97" spans="1:8" x14ac:dyDescent="0.3">
      <c r="A97" s="7">
        <v>92</v>
      </c>
      <c r="B97" s="8" t="s">
        <v>129</v>
      </c>
      <c r="C97" s="9">
        <v>0</v>
      </c>
      <c r="D97" s="9">
        <v>0</v>
      </c>
      <c r="E97" s="7">
        <v>0</v>
      </c>
      <c r="F97" s="10" t="s">
        <v>25</v>
      </c>
      <c r="G97" s="11"/>
      <c r="H97" s="7"/>
    </row>
    <row r="98" spans="1:8" x14ac:dyDescent="0.3">
      <c r="A98" s="7">
        <v>93</v>
      </c>
      <c r="B98" s="8" t="s">
        <v>130</v>
      </c>
      <c r="C98" s="9">
        <v>0</v>
      </c>
      <c r="D98" s="9">
        <v>0</v>
      </c>
      <c r="E98" s="7">
        <v>0</v>
      </c>
      <c r="F98" s="10" t="s">
        <v>25</v>
      </c>
      <c r="G98" s="11"/>
      <c r="H98" s="7"/>
    </row>
    <row r="99" spans="1:8" x14ac:dyDescent="0.3">
      <c r="A99" s="7">
        <v>94</v>
      </c>
      <c r="B99" s="8" t="s">
        <v>131</v>
      </c>
      <c r="C99" s="9">
        <v>0</v>
      </c>
      <c r="D99" s="9">
        <v>0</v>
      </c>
      <c r="E99" s="7">
        <v>0</v>
      </c>
      <c r="F99" s="10" t="s">
        <v>25</v>
      </c>
      <c r="G99" s="11"/>
      <c r="H99" s="7"/>
    </row>
    <row r="100" spans="1:8" x14ac:dyDescent="0.3">
      <c r="A100" s="7">
        <v>95</v>
      </c>
      <c r="B100" s="8" t="s">
        <v>132</v>
      </c>
      <c r="C100" s="9">
        <v>0</v>
      </c>
      <c r="D100" s="9">
        <v>0</v>
      </c>
      <c r="E100" s="7">
        <v>0</v>
      </c>
      <c r="F100" s="10" t="s">
        <v>25</v>
      </c>
      <c r="G100" s="11"/>
      <c r="H100" s="7"/>
    </row>
    <row r="158" spans="1:4" ht="17.399999999999999" x14ac:dyDescent="0.3">
      <c r="A158" s="89"/>
      <c r="B158" s="89"/>
      <c r="C158" s="89"/>
      <c r="D158" s="89"/>
    </row>
    <row r="160" spans="1:4" x14ac:dyDescent="0.3">
      <c r="A160" s="90"/>
      <c r="B160" s="90"/>
      <c r="C160" s="90"/>
      <c r="D160" s="90"/>
    </row>
    <row r="161" spans="1:4" x14ac:dyDescent="0.3">
      <c r="A161" s="24"/>
      <c r="B161" s="25"/>
      <c r="C161" s="91"/>
      <c r="D161" s="91"/>
    </row>
    <row r="162" spans="1:4" x14ac:dyDescent="0.3">
      <c r="A162" s="24"/>
      <c r="B162" s="25"/>
      <c r="C162" s="91"/>
      <c r="D162" s="91"/>
    </row>
    <row r="163" spans="1:4" x14ac:dyDescent="0.3">
      <c r="A163" s="24"/>
      <c r="B163" s="25"/>
      <c r="C163" s="91"/>
      <c r="D163" s="91"/>
    </row>
    <row r="164" spans="1:4" x14ac:dyDescent="0.3">
      <c r="A164" s="24"/>
      <c r="B164" s="25"/>
      <c r="C164" s="91"/>
      <c r="D164" s="91"/>
    </row>
    <row r="165" spans="1:4" x14ac:dyDescent="0.3">
      <c r="A165" s="24"/>
      <c r="B165" s="25"/>
      <c r="C165" s="91"/>
      <c r="D165" s="91"/>
    </row>
    <row r="166" spans="1:4" x14ac:dyDescent="0.3">
      <c r="A166" s="24"/>
      <c r="B166" s="25"/>
      <c r="C166" s="91"/>
      <c r="D166" s="91"/>
    </row>
    <row r="167" spans="1:4" x14ac:dyDescent="0.3">
      <c r="A167" s="24"/>
      <c r="B167" s="25"/>
      <c r="C167" s="91"/>
      <c r="D167" s="91"/>
    </row>
    <row r="168" spans="1:4" x14ac:dyDescent="0.3">
      <c r="A168" s="24"/>
      <c r="B168" s="25"/>
      <c r="C168" s="91"/>
      <c r="D168" s="91"/>
    </row>
    <row r="169" spans="1:4" x14ac:dyDescent="0.3">
      <c r="A169" s="24"/>
      <c r="B169" s="25"/>
      <c r="C169" s="91"/>
      <c r="D169" s="91"/>
    </row>
    <row r="171" spans="1:4" x14ac:dyDescent="0.3">
      <c r="A171" s="105"/>
      <c r="B171" s="105"/>
      <c r="C171" s="105"/>
      <c r="D171" s="105"/>
    </row>
    <row r="172" spans="1:4" x14ac:dyDescent="0.3">
      <c r="A172" s="92"/>
      <c r="B172" s="92"/>
      <c r="C172" s="92"/>
      <c r="D172" s="92"/>
    </row>
    <row r="174" spans="1:4" x14ac:dyDescent="0.3">
      <c r="A174" s="93"/>
      <c r="B174" s="93"/>
      <c r="C174" s="93"/>
      <c r="D174" s="93"/>
    </row>
    <row r="175" spans="1:4" x14ac:dyDescent="0.3">
      <c r="A175" s="94"/>
      <c r="B175" s="94"/>
      <c r="C175" s="94"/>
      <c r="D175" s="94"/>
    </row>
    <row r="177" spans="1:4" x14ac:dyDescent="0.3">
      <c r="A177" s="102"/>
      <c r="B177" s="102"/>
      <c r="C177" s="102"/>
      <c r="D177" s="102"/>
    </row>
    <row r="178" spans="1:4" x14ac:dyDescent="0.3">
      <c r="A178" s="103"/>
      <c r="B178" s="103"/>
      <c r="C178" s="103"/>
      <c r="D178" s="103"/>
    </row>
    <row r="180" spans="1:4" x14ac:dyDescent="0.3">
      <c r="A180" s="104"/>
      <c r="B180" s="104"/>
      <c r="C180" s="104"/>
      <c r="D180" s="104"/>
    </row>
    <row r="181" spans="1:4" x14ac:dyDescent="0.3">
      <c r="A181" s="26"/>
      <c r="B181" s="98"/>
      <c r="C181" s="98"/>
      <c r="D181" s="98"/>
    </row>
    <row r="182" spans="1:4" x14ac:dyDescent="0.3">
      <c r="A182" s="26"/>
      <c r="B182" s="98"/>
      <c r="C182" s="98"/>
      <c r="D182" s="98"/>
    </row>
    <row r="183" spans="1:4" x14ac:dyDescent="0.3">
      <c r="A183" s="26"/>
      <c r="B183" s="98"/>
      <c r="C183" s="98"/>
      <c r="D183" s="98"/>
    </row>
    <row r="184" spans="1:4" x14ac:dyDescent="0.3">
      <c r="A184" s="26"/>
      <c r="B184" s="98"/>
      <c r="C184" s="98"/>
      <c r="D184" s="98"/>
    </row>
    <row r="186" spans="1:4" x14ac:dyDescent="0.3">
      <c r="A186" s="99"/>
      <c r="B186" s="99"/>
      <c r="C186" s="99"/>
      <c r="D186" s="99"/>
    </row>
    <row r="187" spans="1:4" x14ac:dyDescent="0.3">
      <c r="A187" s="100"/>
      <c r="B187" s="100"/>
      <c r="C187" s="100"/>
      <c r="D187" s="100"/>
    </row>
    <row r="188" spans="1:4" x14ac:dyDescent="0.3">
      <c r="A188" s="101"/>
      <c r="B188" s="101"/>
      <c r="C188" s="101"/>
      <c r="D188" s="101"/>
    </row>
    <row r="189" spans="1:4" x14ac:dyDescent="0.3">
      <c r="A189" s="97"/>
      <c r="B189" s="97"/>
      <c r="C189" s="97"/>
      <c r="D189" s="97"/>
    </row>
  </sheetData>
  <mergeCells count="29">
    <mergeCell ref="A1:H1"/>
    <mergeCell ref="A2:H2"/>
    <mergeCell ref="A3:H3"/>
    <mergeCell ref="A189:D189"/>
    <mergeCell ref="B183:D183"/>
    <mergeCell ref="B184:D184"/>
    <mergeCell ref="A186:D186"/>
    <mergeCell ref="A187:D187"/>
    <mergeCell ref="A188:D188"/>
    <mergeCell ref="A177:D177"/>
    <mergeCell ref="A178:D178"/>
    <mergeCell ref="A180:D180"/>
    <mergeCell ref="B181:D181"/>
    <mergeCell ref="B182:D182"/>
    <mergeCell ref="C169:D169"/>
    <mergeCell ref="A171:D171"/>
    <mergeCell ref="A172:D172"/>
    <mergeCell ref="A174:D174"/>
    <mergeCell ref="A175:D175"/>
    <mergeCell ref="C164:D164"/>
    <mergeCell ref="C165:D165"/>
    <mergeCell ref="C166:D166"/>
    <mergeCell ref="C167:D167"/>
    <mergeCell ref="C168:D168"/>
    <mergeCell ref="A158:D158"/>
    <mergeCell ref="A160:D160"/>
    <mergeCell ref="C161:D161"/>
    <mergeCell ref="C162:D162"/>
    <mergeCell ref="C163:D16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79DE0-EC30-4D15-8337-9BF516952164}">
  <dimension ref="A1:O93"/>
  <sheetViews>
    <sheetView workbookViewId="0">
      <selection activeCell="Q84" sqref="Q84"/>
    </sheetView>
  </sheetViews>
  <sheetFormatPr defaultRowHeight="14.4" x14ac:dyDescent="0.3"/>
  <cols>
    <col min="2" max="2" width="17.77734375" customWidth="1"/>
  </cols>
  <sheetData>
    <row r="1" spans="1:15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36" t="s">
        <v>133</v>
      </c>
      <c r="M1" s="36" t="s">
        <v>134</v>
      </c>
      <c r="N1" s="36" t="s">
        <v>135</v>
      </c>
      <c r="O1" s="37" t="s">
        <v>136</v>
      </c>
    </row>
    <row r="2" spans="1:15" x14ac:dyDescent="0.3">
      <c r="A2" s="28">
        <v>46241</v>
      </c>
      <c r="B2" s="29">
        <v>1.0416666666666666E-2</v>
      </c>
      <c r="C2" s="30">
        <v>234</v>
      </c>
      <c r="D2" s="30">
        <v>231</v>
      </c>
      <c r="E2" s="30">
        <v>232</v>
      </c>
      <c r="F2" s="31">
        <v>11.583333333333334</v>
      </c>
      <c r="G2" s="31">
        <v>9.9333333333333336</v>
      </c>
      <c r="H2" s="31">
        <v>11.583333333333334</v>
      </c>
      <c r="I2" s="31">
        <v>-0.97860000000000003</v>
      </c>
      <c r="J2" s="31">
        <v>-0.39610000000000001</v>
      </c>
      <c r="K2" s="31">
        <v>0.55840000000000001</v>
      </c>
      <c r="L2" s="31">
        <f>ABS([1]!Table3[[#This Row],[P1_AVG (W)]])</f>
        <v>2650</v>
      </c>
      <c r="M2" s="31">
        <f>ABS([1]!Table3[[#This Row],[P2_AVG (W)]])</f>
        <v>916.66666666666663</v>
      </c>
      <c r="N2" s="31">
        <f>ABS([1]!Table3[[#This Row],[P3_AVG (W)]])</f>
        <v>1500</v>
      </c>
      <c r="O2" s="38">
        <f>SUM([1]!Table3[[#This Row],[P1_AVG (W)2]:[P3_AVG (W)2]])</f>
        <v>5066.6666666666661</v>
      </c>
    </row>
    <row r="3" spans="1:15" x14ac:dyDescent="0.3">
      <c r="A3" s="32">
        <v>46241</v>
      </c>
      <c r="B3" s="33">
        <v>2.0833333333333332E-2</v>
      </c>
      <c r="C3" s="34">
        <v>232</v>
      </c>
      <c r="D3" s="34">
        <v>229</v>
      </c>
      <c r="E3" s="34">
        <v>230</v>
      </c>
      <c r="F3" s="35">
        <v>10.666666666666666</v>
      </c>
      <c r="G3" s="35">
        <v>9.8000000000000007</v>
      </c>
      <c r="H3" s="35">
        <v>11.383333333333333</v>
      </c>
      <c r="I3" s="35">
        <v>-0.98870000000000002</v>
      </c>
      <c r="J3" s="35">
        <v>-0.39429999999999998</v>
      </c>
      <c r="K3" s="35">
        <v>0.5585</v>
      </c>
      <c r="L3" s="35">
        <f>ABS([1]!Table3[[#This Row],[P1_AVG (W)]])</f>
        <v>2433.3333333333298</v>
      </c>
      <c r="M3" s="35">
        <f>ABS([1]!Table3[[#This Row],[P2_AVG (W)]])</f>
        <v>883.33333333333337</v>
      </c>
      <c r="N3" s="35">
        <f>ABS([1]!Table3[[#This Row],[P3_AVG (W)]])</f>
        <v>1466.6666666666667</v>
      </c>
      <c r="O3" s="39">
        <f>SUM([1]!Table3[[#This Row],[P1_AVG (W)2]:[P3_AVG (W)2]])</f>
        <v>4783.3333333333303</v>
      </c>
    </row>
    <row r="4" spans="1:15" x14ac:dyDescent="0.3">
      <c r="A4" s="28">
        <v>46241</v>
      </c>
      <c r="B4" s="29">
        <v>3.125E-2</v>
      </c>
      <c r="C4" s="30">
        <v>230</v>
      </c>
      <c r="D4" s="30">
        <v>228</v>
      </c>
      <c r="E4" s="30">
        <v>229</v>
      </c>
      <c r="F4" s="31">
        <v>10.15</v>
      </c>
      <c r="G4" s="31">
        <v>9.2833333333333332</v>
      </c>
      <c r="H4" s="31">
        <v>10.8</v>
      </c>
      <c r="I4" s="31">
        <v>-0.98760000000000003</v>
      </c>
      <c r="J4" s="31">
        <v>-0.38840000000000002</v>
      </c>
      <c r="K4" s="31">
        <v>0.56079999999999997</v>
      </c>
      <c r="L4" s="31">
        <f>ABS([1]!Table3[[#This Row],[P1_AVG (W)]])</f>
        <v>2300</v>
      </c>
      <c r="M4" s="31">
        <f>ABS([1]!Table3[[#This Row],[P2_AVG (W)]])</f>
        <v>816.66666666666663</v>
      </c>
      <c r="N4" s="31">
        <f>ABS([1]!Table3[[#This Row],[P3_AVG (W)]])</f>
        <v>1383.3333333333333</v>
      </c>
      <c r="O4" s="38">
        <f>SUM([1]!Table3[[#This Row],[P1_AVG (W)2]:[P3_AVG (W)2]])</f>
        <v>4500</v>
      </c>
    </row>
    <row r="5" spans="1:15" x14ac:dyDescent="0.3">
      <c r="A5" s="32">
        <v>46241</v>
      </c>
      <c r="B5" s="33">
        <v>4.1666666666666664E-2</v>
      </c>
      <c r="C5" s="34">
        <v>231</v>
      </c>
      <c r="D5" s="34">
        <v>228</v>
      </c>
      <c r="E5" s="34">
        <v>229</v>
      </c>
      <c r="F5" s="35">
        <v>10.1</v>
      </c>
      <c r="G5" s="35">
        <v>9.25</v>
      </c>
      <c r="H5" s="35">
        <v>10.7</v>
      </c>
      <c r="I5" s="35">
        <v>-0.98740000000000006</v>
      </c>
      <c r="J5" s="35">
        <v>-0.38650000000000001</v>
      </c>
      <c r="K5" s="35">
        <v>0.5605</v>
      </c>
      <c r="L5" s="35">
        <f>ABS([1]!Table3[[#This Row],[P1_AVG (W)]])</f>
        <v>2300</v>
      </c>
      <c r="M5" s="35">
        <f>ABS([1]!Table3[[#This Row],[P2_AVG (W)]])</f>
        <v>816.66666666666663</v>
      </c>
      <c r="N5" s="35">
        <f>ABS([1]!Table3[[#This Row],[P3_AVG (W)]])</f>
        <v>1366.6666666666667</v>
      </c>
      <c r="O5" s="39">
        <f>SUM([1]!Table3[[#This Row],[P1_AVG (W)2]:[P3_AVG (W)2]])</f>
        <v>4483.333333333333</v>
      </c>
    </row>
    <row r="6" spans="1:15" x14ac:dyDescent="0.3">
      <c r="A6" s="28">
        <v>46241</v>
      </c>
      <c r="B6" s="29">
        <v>5.2083333333333336E-2</v>
      </c>
      <c r="C6" s="30">
        <v>231</v>
      </c>
      <c r="D6" s="30">
        <v>229</v>
      </c>
      <c r="E6" s="30">
        <v>229</v>
      </c>
      <c r="F6" s="31">
        <v>9.6666666666666661</v>
      </c>
      <c r="G6" s="31">
        <v>8.8000000000000007</v>
      </c>
      <c r="H6" s="31">
        <v>10.283333333333333</v>
      </c>
      <c r="I6" s="31">
        <v>-0.98599999999999999</v>
      </c>
      <c r="J6" s="31">
        <v>-0.37880000000000003</v>
      </c>
      <c r="K6" s="31">
        <v>0.56310000000000004</v>
      </c>
      <c r="L6" s="31">
        <f>ABS([1]!Table3[[#This Row],[P1_AVG (W)]])</f>
        <v>2200</v>
      </c>
      <c r="M6" s="31">
        <f>ABS([1]!Table3[[#This Row],[P2_AVG (W)]])</f>
        <v>766.66666666666663</v>
      </c>
      <c r="N6" s="31">
        <f>ABS([1]!Table3[[#This Row],[P3_AVG (W)]])</f>
        <v>1333.3333333333333</v>
      </c>
      <c r="O6" s="38">
        <f>SUM([1]!Table3[[#This Row],[P1_AVG (W)2]:[P3_AVG (W)2]])</f>
        <v>4300</v>
      </c>
    </row>
    <row r="7" spans="1:15" x14ac:dyDescent="0.3">
      <c r="A7" s="32">
        <v>46241</v>
      </c>
      <c r="B7" s="33">
        <v>6.25E-2</v>
      </c>
      <c r="C7" s="34">
        <v>231</v>
      </c>
      <c r="D7" s="34">
        <v>229</v>
      </c>
      <c r="E7" s="34">
        <v>230</v>
      </c>
      <c r="F7" s="35">
        <v>9.4333333333333336</v>
      </c>
      <c r="G7" s="35">
        <v>8.5833333333333339</v>
      </c>
      <c r="H7" s="35">
        <v>10.033333333333333</v>
      </c>
      <c r="I7" s="35">
        <v>-0.98519999999999996</v>
      </c>
      <c r="J7" s="35">
        <v>-0.37569999999999998</v>
      </c>
      <c r="K7" s="35">
        <v>0.56530000000000002</v>
      </c>
      <c r="L7" s="35">
        <f>ABS([1]!Table3[[#This Row],[P1_AVG (W)]])</f>
        <v>2150</v>
      </c>
      <c r="M7" s="35">
        <f>ABS([1]!Table3[[#This Row],[P2_AVG (W)]])</f>
        <v>733.33333333333337</v>
      </c>
      <c r="N7" s="35">
        <f>ABS([1]!Table3[[#This Row],[P3_AVG (W)]])</f>
        <v>1300</v>
      </c>
      <c r="O7" s="39">
        <f>SUM([1]!Table3[[#This Row],[P1_AVG (W)2]:[P3_AVG (W)2]])</f>
        <v>4183.3333333333339</v>
      </c>
    </row>
    <row r="8" spans="1:15" x14ac:dyDescent="0.3">
      <c r="A8" s="28">
        <v>46241</v>
      </c>
      <c r="B8" s="29">
        <v>7.2916666666666671E-2</v>
      </c>
      <c r="C8" s="30">
        <v>232</v>
      </c>
      <c r="D8" s="30">
        <v>229</v>
      </c>
      <c r="E8" s="30">
        <v>230</v>
      </c>
      <c r="F8" s="31">
        <v>9.25</v>
      </c>
      <c r="G8" s="31">
        <v>8.4</v>
      </c>
      <c r="H8" s="31">
        <v>9.8666666666666671</v>
      </c>
      <c r="I8" s="31">
        <v>-0.98470000000000002</v>
      </c>
      <c r="J8" s="31">
        <v>-0.37290000000000001</v>
      </c>
      <c r="K8" s="31">
        <v>0.56699999999999995</v>
      </c>
      <c r="L8" s="31">
        <f>ABS([1]!Table3[[#This Row],[P1_AVG (W)]])</f>
        <v>2116.6666666666702</v>
      </c>
      <c r="M8" s="31">
        <f>ABS([1]!Table3[[#This Row],[P2_AVG (W)]])</f>
        <v>716.66666666666663</v>
      </c>
      <c r="N8" s="31">
        <f>ABS([1]!Table3[[#This Row],[P3_AVG (W)]])</f>
        <v>1283.3333333333333</v>
      </c>
      <c r="O8" s="38">
        <f>SUM([1]!Table3[[#This Row],[P1_AVG (W)2]:[P3_AVG (W)2]])</f>
        <v>4116.6666666666697</v>
      </c>
    </row>
    <row r="9" spans="1:15" x14ac:dyDescent="0.3">
      <c r="A9" s="32">
        <v>46241</v>
      </c>
      <c r="B9" s="33">
        <v>8.3333333333333329E-2</v>
      </c>
      <c r="C9" s="34">
        <v>232</v>
      </c>
      <c r="D9" s="34">
        <v>229</v>
      </c>
      <c r="E9" s="34">
        <v>230</v>
      </c>
      <c r="F9" s="35">
        <v>9.1666666666666661</v>
      </c>
      <c r="G9" s="35">
        <v>8.3166666666666664</v>
      </c>
      <c r="H9" s="35">
        <v>9.8000000000000007</v>
      </c>
      <c r="I9" s="35">
        <v>-0.98450000000000004</v>
      </c>
      <c r="J9" s="35">
        <v>-0.37240000000000001</v>
      </c>
      <c r="K9" s="35">
        <v>0.56779999999999997</v>
      </c>
      <c r="L9" s="35">
        <f>ABS([1]!Table3[[#This Row],[P1_AVG (W)]])</f>
        <v>2083.3333333333298</v>
      </c>
      <c r="M9" s="35">
        <f>ABS([1]!Table3[[#This Row],[P2_AVG (W)]])</f>
        <v>716.66666666666663</v>
      </c>
      <c r="N9" s="35">
        <f>ABS([1]!Table3[[#This Row],[P3_AVG (W)]])</f>
        <v>1283.3333333333333</v>
      </c>
      <c r="O9" s="39">
        <f>SUM([1]!Table3[[#This Row],[P1_AVG (W)2]:[P3_AVG (W)2]])</f>
        <v>4083.3333333333294</v>
      </c>
    </row>
    <row r="10" spans="1:15" x14ac:dyDescent="0.3">
      <c r="A10" s="28">
        <v>46241</v>
      </c>
      <c r="B10" s="29">
        <v>9.375E-2</v>
      </c>
      <c r="C10" s="30">
        <v>232</v>
      </c>
      <c r="D10" s="30">
        <v>230</v>
      </c>
      <c r="E10" s="30">
        <v>231</v>
      </c>
      <c r="F10" s="31">
        <v>8.5833333333333339</v>
      </c>
      <c r="G10" s="31">
        <v>7.75</v>
      </c>
      <c r="H10" s="31">
        <v>9.2166666666666668</v>
      </c>
      <c r="I10" s="31">
        <v>-0.98240000000000005</v>
      </c>
      <c r="J10" s="31">
        <v>-0.36059999999999998</v>
      </c>
      <c r="K10" s="31">
        <v>0.57269999999999999</v>
      </c>
      <c r="L10" s="31">
        <f>ABS([1]!Table3[[#This Row],[P1_AVG (W)]])</f>
        <v>1966.6666666666699</v>
      </c>
      <c r="M10" s="31">
        <f>ABS([1]!Table3[[#This Row],[P2_AVG (W)]])</f>
        <v>650</v>
      </c>
      <c r="N10" s="31">
        <f>ABS([1]!Table3[[#This Row],[P3_AVG (W)]])</f>
        <v>1216.6666666666667</v>
      </c>
      <c r="O10" s="38">
        <f>SUM([1]!Table3[[#This Row],[P1_AVG (W)2]:[P3_AVG (W)2]])</f>
        <v>3833.3333333333367</v>
      </c>
    </row>
    <row r="11" spans="1:15" x14ac:dyDescent="0.3">
      <c r="A11" s="32">
        <v>46241</v>
      </c>
      <c r="B11" s="33">
        <v>0.10416666666666667</v>
      </c>
      <c r="C11" s="34">
        <v>233</v>
      </c>
      <c r="D11" s="34">
        <v>231</v>
      </c>
      <c r="E11" s="34">
        <v>232</v>
      </c>
      <c r="F11" s="35">
        <v>8.1333333333333329</v>
      </c>
      <c r="G11" s="35">
        <v>7.2833333333333332</v>
      </c>
      <c r="H11" s="35">
        <v>8.7666666666666675</v>
      </c>
      <c r="I11" s="35">
        <v>-0.98009999999999997</v>
      </c>
      <c r="J11" s="35">
        <v>-0.34610000000000002</v>
      </c>
      <c r="K11" s="35">
        <v>0.57630000000000003</v>
      </c>
      <c r="L11" s="35">
        <f>ABS([1]!Table3[[#This Row],[P1_AVG (W)]])</f>
        <v>1850</v>
      </c>
      <c r="M11" s="35">
        <f>ABS([1]!Table3[[#This Row],[P2_AVG (W)]])</f>
        <v>583.33333333333337</v>
      </c>
      <c r="N11" s="35">
        <f>ABS([1]!Table3[[#This Row],[P3_AVG (W)]])</f>
        <v>1166.6666666666667</v>
      </c>
      <c r="O11" s="39">
        <f>SUM([1]!Table3[[#This Row],[P1_AVG (W)2]:[P3_AVG (W)2]])</f>
        <v>3600</v>
      </c>
    </row>
    <row r="12" spans="1:15" x14ac:dyDescent="0.3">
      <c r="A12" s="28">
        <v>46241</v>
      </c>
      <c r="B12" s="29">
        <v>0.11458333333333333</v>
      </c>
      <c r="C12" s="30">
        <v>234</v>
      </c>
      <c r="D12" s="30">
        <v>231</v>
      </c>
      <c r="E12" s="30">
        <v>232</v>
      </c>
      <c r="F12" s="31">
        <v>8.1666666666666661</v>
      </c>
      <c r="G12" s="31">
        <v>7.2833333333333332</v>
      </c>
      <c r="H12" s="31">
        <v>8.8000000000000007</v>
      </c>
      <c r="I12" s="31">
        <v>-0.98</v>
      </c>
      <c r="J12" s="31">
        <v>-0.34539999999999998</v>
      </c>
      <c r="K12" s="31">
        <v>0.57640000000000002</v>
      </c>
      <c r="L12" s="31">
        <f>ABS([1]!Table3[[#This Row],[P1_AVG (W)]])</f>
        <v>1866.6666666666699</v>
      </c>
      <c r="M12" s="31">
        <f>ABS([1]!Table3[[#This Row],[P2_AVG (W)]])</f>
        <v>583.33333333333337</v>
      </c>
      <c r="N12" s="31">
        <f>ABS([1]!Table3[[#This Row],[P3_AVG (W)]])</f>
        <v>1183.3333333333333</v>
      </c>
      <c r="O12" s="38">
        <f>SUM([1]!Table3[[#This Row],[P1_AVG (W)2]:[P3_AVG (W)2]])</f>
        <v>3633.3333333333367</v>
      </c>
    </row>
    <row r="13" spans="1:15" x14ac:dyDescent="0.3">
      <c r="A13" s="32">
        <v>46241</v>
      </c>
      <c r="B13" s="33">
        <v>0.125</v>
      </c>
      <c r="C13" s="34">
        <v>234</v>
      </c>
      <c r="D13" s="34">
        <v>232</v>
      </c>
      <c r="E13" s="34">
        <v>233</v>
      </c>
      <c r="F13" s="35">
        <v>8.0833333333333339</v>
      </c>
      <c r="G13" s="35">
        <v>7.2333333333333334</v>
      </c>
      <c r="H13" s="35">
        <v>8.7333333333333325</v>
      </c>
      <c r="I13" s="35">
        <v>-0.97960000000000003</v>
      </c>
      <c r="J13" s="35">
        <v>-0.34420000000000001</v>
      </c>
      <c r="K13" s="35">
        <v>0.57789999999999997</v>
      </c>
      <c r="L13" s="35">
        <f>ABS([1]!Table3[[#This Row],[P1_AVG (W)]])</f>
        <v>1850</v>
      </c>
      <c r="M13" s="35">
        <f>ABS([1]!Table3[[#This Row],[P2_AVG (W)]])</f>
        <v>583.33333333333337</v>
      </c>
      <c r="N13" s="35">
        <f>ABS([1]!Table3[[#This Row],[P3_AVG (W)]])</f>
        <v>1166.6666666666667</v>
      </c>
      <c r="O13" s="39">
        <f>SUM([1]!Table3[[#This Row],[P1_AVG (W)2]:[P3_AVG (W)2]])</f>
        <v>3600</v>
      </c>
    </row>
    <row r="14" spans="1:15" x14ac:dyDescent="0.3">
      <c r="A14" s="28">
        <v>46241</v>
      </c>
      <c r="B14" s="29">
        <v>0.13541666666666666</v>
      </c>
      <c r="C14" s="30">
        <v>234</v>
      </c>
      <c r="D14" s="30">
        <v>232</v>
      </c>
      <c r="E14" s="30">
        <v>233</v>
      </c>
      <c r="F14" s="31">
        <v>7.9833333333333334</v>
      </c>
      <c r="G14" s="31">
        <v>7.1166666666666663</v>
      </c>
      <c r="H14" s="31">
        <v>8.6166666666666671</v>
      </c>
      <c r="I14" s="31">
        <v>-0.97899999999999998</v>
      </c>
      <c r="J14" s="31">
        <v>-0.3407</v>
      </c>
      <c r="K14" s="31">
        <v>0.57930000000000004</v>
      </c>
      <c r="L14" s="31">
        <f>ABS([1]!Table3[[#This Row],[P1_AVG (W)]])</f>
        <v>1833.3333333333301</v>
      </c>
      <c r="M14" s="31">
        <f>ABS([1]!Table3[[#This Row],[P2_AVG (W)]])</f>
        <v>566.66666666666663</v>
      </c>
      <c r="N14" s="31">
        <f>ABS([1]!Table3[[#This Row],[P3_AVG (W)]])</f>
        <v>1166.6666666666667</v>
      </c>
      <c r="O14" s="38">
        <f>SUM([1]!Table3[[#This Row],[P1_AVG (W)2]:[P3_AVG (W)2]])</f>
        <v>3566.6666666666633</v>
      </c>
    </row>
    <row r="15" spans="1:15" x14ac:dyDescent="0.3">
      <c r="A15" s="32">
        <v>46241</v>
      </c>
      <c r="B15" s="33">
        <v>0.14583333333333334</v>
      </c>
      <c r="C15" s="34">
        <v>235</v>
      </c>
      <c r="D15" s="34">
        <v>232</v>
      </c>
      <c r="E15" s="34">
        <v>233</v>
      </c>
      <c r="F15" s="35">
        <v>7.9</v>
      </c>
      <c r="G15" s="35">
        <v>7.0333333333333332</v>
      </c>
      <c r="H15" s="35">
        <v>8.5333333333333332</v>
      </c>
      <c r="I15" s="35">
        <v>-0.97850000000000004</v>
      </c>
      <c r="J15" s="35">
        <v>-0.33839999999999998</v>
      </c>
      <c r="K15" s="35">
        <v>0.58030000000000004</v>
      </c>
      <c r="L15" s="35">
        <f>ABS([1]!Table3[[#This Row],[P1_AVG (W)]])</f>
        <v>1816.6666666666699</v>
      </c>
      <c r="M15" s="35">
        <f>ABS([1]!Table3[[#This Row],[P2_AVG (W)]])</f>
        <v>550</v>
      </c>
      <c r="N15" s="35">
        <f>ABS([1]!Table3[[#This Row],[P3_AVG (W)]])</f>
        <v>1150</v>
      </c>
      <c r="O15" s="39">
        <f>SUM([1]!Table3[[#This Row],[P1_AVG (W)2]:[P3_AVG (W)2]])</f>
        <v>3516.6666666666697</v>
      </c>
    </row>
    <row r="16" spans="1:15" x14ac:dyDescent="0.3">
      <c r="A16" s="28">
        <v>46241</v>
      </c>
      <c r="B16" s="29">
        <v>0.15625</v>
      </c>
      <c r="C16" s="30">
        <v>235</v>
      </c>
      <c r="D16" s="30">
        <v>233</v>
      </c>
      <c r="E16" s="30">
        <v>234</v>
      </c>
      <c r="F16" s="31">
        <v>7.85</v>
      </c>
      <c r="G16" s="31">
        <v>7</v>
      </c>
      <c r="H16" s="31">
        <v>8.4666666666666668</v>
      </c>
      <c r="I16" s="31">
        <v>-0.97850000000000004</v>
      </c>
      <c r="J16" s="31">
        <v>-0.33800000000000002</v>
      </c>
      <c r="K16" s="31">
        <v>0.58160000000000001</v>
      </c>
      <c r="L16" s="31">
        <f>ABS([1]!Table3[[#This Row],[P1_AVG (W)]])</f>
        <v>1800</v>
      </c>
      <c r="M16" s="31">
        <f>ABS([1]!Table3[[#This Row],[P2_AVG (W)]])</f>
        <v>550</v>
      </c>
      <c r="N16" s="31">
        <f>ABS([1]!Table3[[#This Row],[P3_AVG (W)]])</f>
        <v>1150</v>
      </c>
      <c r="O16" s="38">
        <f>SUM([1]!Table3[[#This Row],[P1_AVG (W)2]:[P3_AVG (W)2]])</f>
        <v>3500</v>
      </c>
    </row>
    <row r="17" spans="1:15" x14ac:dyDescent="0.3">
      <c r="A17" s="32">
        <v>46241</v>
      </c>
      <c r="B17" s="33">
        <v>0.16666666666666666</v>
      </c>
      <c r="C17" s="34">
        <v>235</v>
      </c>
      <c r="D17" s="34">
        <v>232</v>
      </c>
      <c r="E17" s="34">
        <v>234</v>
      </c>
      <c r="F17" s="35">
        <v>8.5500000000000007</v>
      </c>
      <c r="G17" s="35">
        <v>6.9666666666666668</v>
      </c>
      <c r="H17" s="35">
        <v>8.4166666666666661</v>
      </c>
      <c r="I17" s="35">
        <v>-0.96379999999999999</v>
      </c>
      <c r="J17" s="35">
        <v>-0.33660000000000001</v>
      </c>
      <c r="K17" s="35">
        <v>0.5827</v>
      </c>
      <c r="L17" s="35">
        <f>ABS([1]!Table3[[#This Row],[P1_AVG (W)]])</f>
        <v>1933.3333333333301</v>
      </c>
      <c r="M17" s="35">
        <f>ABS([1]!Table3[[#This Row],[P2_AVG (W)]])</f>
        <v>550</v>
      </c>
      <c r="N17" s="35">
        <f>ABS([1]!Table3[[#This Row],[P3_AVG (W)]])</f>
        <v>1150</v>
      </c>
      <c r="O17" s="39">
        <f>SUM([1]!Table3[[#This Row],[P1_AVG (W)2]:[P3_AVG (W)2]])</f>
        <v>3633.3333333333303</v>
      </c>
    </row>
    <row r="18" spans="1:15" x14ac:dyDescent="0.3">
      <c r="A18" s="28">
        <v>46241</v>
      </c>
      <c r="B18" s="29">
        <v>0.17708333333333334</v>
      </c>
      <c r="C18" s="30">
        <v>234</v>
      </c>
      <c r="D18" s="30">
        <v>232</v>
      </c>
      <c r="E18" s="30">
        <v>233</v>
      </c>
      <c r="F18" s="31">
        <v>8.9333333333333336</v>
      </c>
      <c r="G18" s="31">
        <v>6.9</v>
      </c>
      <c r="H18" s="31">
        <v>8.3666666666666671</v>
      </c>
      <c r="I18" s="31">
        <v>-0.95469999999999999</v>
      </c>
      <c r="J18" s="31">
        <v>-0.33550000000000002</v>
      </c>
      <c r="K18" s="31">
        <v>0.58309999999999995</v>
      </c>
      <c r="L18" s="31">
        <f>ABS([1]!Table3[[#This Row],[P1_AVG (W)]])</f>
        <v>2000</v>
      </c>
      <c r="M18" s="31">
        <f>ABS([1]!Table3[[#This Row],[P2_AVG (W)]])</f>
        <v>533.33333333333337</v>
      </c>
      <c r="N18" s="31">
        <f>ABS([1]!Table3[[#This Row],[P3_AVG (W)]])</f>
        <v>1133.3333333333333</v>
      </c>
      <c r="O18" s="38">
        <f>SUM([1]!Table3[[#This Row],[P1_AVG (W)2]:[P3_AVG (W)2]])</f>
        <v>3666.666666666667</v>
      </c>
    </row>
    <row r="19" spans="1:15" x14ac:dyDescent="0.3">
      <c r="A19" s="32">
        <v>46241</v>
      </c>
      <c r="B19" s="33">
        <v>0.1875</v>
      </c>
      <c r="C19" s="34">
        <v>233</v>
      </c>
      <c r="D19" s="34">
        <v>231</v>
      </c>
      <c r="E19" s="34">
        <v>232</v>
      </c>
      <c r="F19" s="35">
        <v>8.9499999999999993</v>
      </c>
      <c r="G19" s="35">
        <v>6.9666666666666668</v>
      </c>
      <c r="H19" s="35">
        <v>8.4333333333333336</v>
      </c>
      <c r="I19" s="35">
        <v>-0.95589999999999997</v>
      </c>
      <c r="J19" s="35">
        <v>-0.33700000000000002</v>
      </c>
      <c r="K19" s="35">
        <v>0.58230000000000004</v>
      </c>
      <c r="L19" s="35">
        <f>ABS([1]!Table3[[#This Row],[P1_AVG (W)]])</f>
        <v>2000</v>
      </c>
      <c r="M19" s="35">
        <f>ABS([1]!Table3[[#This Row],[P2_AVG (W)]])</f>
        <v>550</v>
      </c>
      <c r="N19" s="35">
        <f>ABS([1]!Table3[[#This Row],[P3_AVG (W)]])</f>
        <v>1133.3333333333333</v>
      </c>
      <c r="O19" s="39">
        <f>SUM([1]!Table3[[#This Row],[P1_AVG (W)2]:[P3_AVG (W)2]])</f>
        <v>3683.333333333333</v>
      </c>
    </row>
    <row r="20" spans="1:15" x14ac:dyDescent="0.3">
      <c r="A20" s="28">
        <v>46241</v>
      </c>
      <c r="B20" s="29">
        <v>0.19791666666666666</v>
      </c>
      <c r="C20" s="30">
        <v>233</v>
      </c>
      <c r="D20" s="30">
        <v>231</v>
      </c>
      <c r="E20" s="30">
        <v>232</v>
      </c>
      <c r="F20" s="31">
        <v>8.9</v>
      </c>
      <c r="G20" s="31">
        <v>6.9</v>
      </c>
      <c r="H20" s="31">
        <v>8.3666666666666671</v>
      </c>
      <c r="I20" s="31">
        <v>-0.95609999999999995</v>
      </c>
      <c r="J20" s="31">
        <v>-0.33639999999999998</v>
      </c>
      <c r="K20" s="31">
        <v>0.5827</v>
      </c>
      <c r="L20" s="31">
        <f>ABS([1]!Table3[[#This Row],[P1_AVG (W)]])</f>
        <v>1983.3333333333301</v>
      </c>
      <c r="M20" s="31">
        <f>ABS([1]!Table3[[#This Row],[P2_AVG (W)]])</f>
        <v>533.33333333333337</v>
      </c>
      <c r="N20" s="31">
        <f>ABS([1]!Table3[[#This Row],[P3_AVG (W)]])</f>
        <v>1133.3333333333333</v>
      </c>
      <c r="O20" s="38">
        <f>SUM([1]!Table3[[#This Row],[P1_AVG (W)2]:[P3_AVG (W)2]])</f>
        <v>3649.9999999999964</v>
      </c>
    </row>
    <row r="21" spans="1:15" x14ac:dyDescent="0.3">
      <c r="A21" s="32">
        <v>46241</v>
      </c>
      <c r="B21" s="33">
        <v>0.20833333333333334</v>
      </c>
      <c r="C21" s="34">
        <v>231</v>
      </c>
      <c r="D21" s="34">
        <v>229</v>
      </c>
      <c r="E21" s="34">
        <v>230</v>
      </c>
      <c r="F21" s="35">
        <v>9.0333333333333332</v>
      </c>
      <c r="G21" s="35">
        <v>7.05</v>
      </c>
      <c r="H21" s="35">
        <v>8.5166666666666675</v>
      </c>
      <c r="I21" s="35">
        <v>-0.95820000000000005</v>
      </c>
      <c r="J21" s="35">
        <v>-0.34100000000000003</v>
      </c>
      <c r="K21" s="35">
        <v>0.58140000000000003</v>
      </c>
      <c r="L21" s="35">
        <f>ABS([1]!Table3[[#This Row],[P1_AVG (W)]])</f>
        <v>2000</v>
      </c>
      <c r="M21" s="35">
        <f>ABS([1]!Table3[[#This Row],[P2_AVG (W)]])</f>
        <v>550</v>
      </c>
      <c r="N21" s="35">
        <f>ABS([1]!Table3[[#This Row],[P3_AVG (W)]])</f>
        <v>1133.3333333333333</v>
      </c>
      <c r="O21" s="39">
        <f>SUM([1]!Table3[[#This Row],[P1_AVG (W)2]:[P3_AVG (W)2]])</f>
        <v>3683.333333333333</v>
      </c>
    </row>
    <row r="22" spans="1:15" x14ac:dyDescent="0.3">
      <c r="A22" s="28">
        <v>46241</v>
      </c>
      <c r="B22" s="29">
        <v>0.21875</v>
      </c>
      <c r="C22" s="30">
        <v>229</v>
      </c>
      <c r="D22" s="30">
        <v>227</v>
      </c>
      <c r="E22" s="30">
        <v>228</v>
      </c>
      <c r="F22" s="31">
        <v>9.0666666666666664</v>
      </c>
      <c r="G22" s="31">
        <v>7.1166666666666663</v>
      </c>
      <c r="H22" s="31">
        <v>8.5666666666666664</v>
      </c>
      <c r="I22" s="31">
        <v>-0.95960000000000001</v>
      </c>
      <c r="J22" s="31">
        <v>-0.34510000000000002</v>
      </c>
      <c r="K22" s="31">
        <v>0.57979999999999998</v>
      </c>
      <c r="L22" s="31">
        <f>ABS([1]!Table3[[#This Row],[P1_AVG (W)]])</f>
        <v>2000</v>
      </c>
      <c r="M22" s="31">
        <f>ABS([1]!Table3[[#This Row],[P2_AVG (W)]])</f>
        <v>550</v>
      </c>
      <c r="N22" s="31">
        <f>ABS([1]!Table3[[#This Row],[P3_AVG (W)]])</f>
        <v>1133.3333333333333</v>
      </c>
      <c r="O22" s="38">
        <f>SUM([1]!Table3[[#This Row],[P1_AVG (W)2]:[P3_AVG (W)2]])</f>
        <v>3683.333333333333</v>
      </c>
    </row>
    <row r="23" spans="1:15" x14ac:dyDescent="0.3">
      <c r="A23" s="32">
        <v>46241</v>
      </c>
      <c r="B23" s="33">
        <v>0.22916666666666666</v>
      </c>
      <c r="C23" s="34">
        <v>229</v>
      </c>
      <c r="D23" s="34">
        <v>227</v>
      </c>
      <c r="E23" s="34">
        <v>228</v>
      </c>
      <c r="F23" s="35">
        <v>9.1</v>
      </c>
      <c r="G23" s="35">
        <v>7.1333333333333337</v>
      </c>
      <c r="H23" s="35">
        <v>8.6166666666666671</v>
      </c>
      <c r="I23" s="35">
        <v>-0.95950000000000002</v>
      </c>
      <c r="J23" s="35">
        <v>-0.34429999999999999</v>
      </c>
      <c r="K23" s="35">
        <v>0.57869999999999999</v>
      </c>
      <c r="L23" s="35">
        <f>ABS([1]!Table3[[#This Row],[P1_AVG (W)]])</f>
        <v>2000</v>
      </c>
      <c r="M23" s="35">
        <f>ABS([1]!Table3[[#This Row],[P2_AVG (W)]])</f>
        <v>566.66666666666663</v>
      </c>
      <c r="N23" s="35">
        <f>ABS([1]!Table3[[#This Row],[P3_AVG (W)]])</f>
        <v>1133.3333333333333</v>
      </c>
      <c r="O23" s="39">
        <f>SUM([1]!Table3[[#This Row],[P1_AVG (W)2]:[P3_AVG (W)2]])</f>
        <v>3700</v>
      </c>
    </row>
    <row r="24" spans="1:15" x14ac:dyDescent="0.3">
      <c r="A24" s="28">
        <v>46241</v>
      </c>
      <c r="B24" s="29">
        <v>0.23958333333333334</v>
      </c>
      <c r="C24" s="30">
        <v>229</v>
      </c>
      <c r="D24" s="30">
        <v>227</v>
      </c>
      <c r="E24" s="30">
        <v>228</v>
      </c>
      <c r="F24" s="31">
        <v>9.1166666666666671</v>
      </c>
      <c r="G24" s="31">
        <v>6.8</v>
      </c>
      <c r="H24" s="31">
        <v>8.3000000000000007</v>
      </c>
      <c r="I24" s="31">
        <v>-0.95950000000000002</v>
      </c>
      <c r="J24" s="31">
        <v>-0.31690000000000002</v>
      </c>
      <c r="K24" s="31">
        <v>0.57830000000000004</v>
      </c>
      <c r="L24" s="31">
        <f>ABS([1]!Table3[[#This Row],[P1_AVG (W)]])</f>
        <v>2000</v>
      </c>
      <c r="M24" s="31">
        <f>ABS([1]!Table3[[#This Row],[P2_AVG (W)]])</f>
        <v>483.33333333333331</v>
      </c>
      <c r="N24" s="31">
        <f>ABS([1]!Table3[[#This Row],[P3_AVG (W)]])</f>
        <v>1100</v>
      </c>
      <c r="O24" s="38">
        <f>SUM([1]!Table3[[#This Row],[P1_AVG (W)2]:[P3_AVG (W)2]])</f>
        <v>3583.3333333333335</v>
      </c>
    </row>
    <row r="25" spans="1:15" x14ac:dyDescent="0.3">
      <c r="A25" s="32">
        <v>46241</v>
      </c>
      <c r="B25" s="33">
        <v>0.25</v>
      </c>
      <c r="C25" s="34">
        <v>235</v>
      </c>
      <c r="D25" s="34">
        <v>233</v>
      </c>
      <c r="E25" s="34">
        <v>234</v>
      </c>
      <c r="F25" s="35">
        <v>9.0333333333333332</v>
      </c>
      <c r="G25" s="35">
        <v>6.4666666666666668</v>
      </c>
      <c r="H25" s="35">
        <v>8.2333333333333325</v>
      </c>
      <c r="I25" s="35">
        <v>-0.9546</v>
      </c>
      <c r="J25" s="35">
        <v>-0.2893</v>
      </c>
      <c r="K25" s="35">
        <v>0.57989999999999997</v>
      </c>
      <c r="L25" s="35">
        <f>ABS([1]!Table3[[#This Row],[P1_AVG (W)]])</f>
        <v>2033.3333333333301</v>
      </c>
      <c r="M25" s="35">
        <f>ABS([1]!Table3[[#This Row],[P2_AVG (W)]])</f>
        <v>433.33333333333331</v>
      </c>
      <c r="N25" s="35">
        <f>ABS([1]!Table3[[#This Row],[P3_AVG (W)]])</f>
        <v>1116.6666666666667</v>
      </c>
      <c r="O25" s="39">
        <f>SUM([1]!Table3[[#This Row],[P1_AVG (W)2]:[P3_AVG (W)2]])</f>
        <v>3583.3333333333303</v>
      </c>
    </row>
    <row r="26" spans="1:15" x14ac:dyDescent="0.3">
      <c r="A26" s="28">
        <v>46241</v>
      </c>
      <c r="B26" s="29">
        <v>0.26041666666666669</v>
      </c>
      <c r="C26" s="30">
        <v>235</v>
      </c>
      <c r="D26" s="30">
        <v>233</v>
      </c>
      <c r="E26" s="30">
        <v>234</v>
      </c>
      <c r="F26" s="31">
        <v>9.4666666666666668</v>
      </c>
      <c r="G26" s="31">
        <v>6.916666666666667</v>
      </c>
      <c r="H26" s="31">
        <v>8.6666666666666661</v>
      </c>
      <c r="I26" s="31">
        <v>-0.95809999999999995</v>
      </c>
      <c r="J26" s="31">
        <v>-0.30830000000000002</v>
      </c>
      <c r="K26" s="31">
        <v>0.57340000000000002</v>
      </c>
      <c r="L26" s="31">
        <f>ABS([1]!Table3[[#This Row],[P1_AVG (W)]])</f>
        <v>2133.3333333333298</v>
      </c>
      <c r="M26" s="31">
        <f>ABS([1]!Table3[[#This Row],[P2_AVG (W)]])</f>
        <v>500</v>
      </c>
      <c r="N26" s="31">
        <f>ABS([1]!Table3[[#This Row],[P3_AVG (W)]])</f>
        <v>1166.6666666666667</v>
      </c>
      <c r="O26" s="38">
        <f>SUM([1]!Table3[[#This Row],[P1_AVG (W)2]:[P3_AVG (W)2]])</f>
        <v>3799.9999999999964</v>
      </c>
    </row>
    <row r="27" spans="1:15" x14ac:dyDescent="0.3">
      <c r="A27" s="32">
        <v>46241</v>
      </c>
      <c r="B27" s="33">
        <v>0.27083333333333331</v>
      </c>
      <c r="C27" s="34">
        <v>235</v>
      </c>
      <c r="D27" s="34">
        <v>233</v>
      </c>
      <c r="E27" s="34">
        <v>234</v>
      </c>
      <c r="F27" s="35">
        <v>9.35</v>
      </c>
      <c r="G27" s="35">
        <v>6.6333333333333337</v>
      </c>
      <c r="H27" s="35">
        <v>8.4833333333333325</v>
      </c>
      <c r="I27" s="35">
        <v>-0.94</v>
      </c>
      <c r="J27" s="35">
        <v>-0.377</v>
      </c>
      <c r="K27" s="35">
        <v>0.5202</v>
      </c>
      <c r="L27" s="35">
        <f>ABS([1]!Table3[[#This Row],[P1_AVG (W)]])</f>
        <v>2066.6666666666702</v>
      </c>
      <c r="M27" s="35">
        <f>ABS([1]!Table3[[#This Row],[P2_AVG (W)]])</f>
        <v>583.33333333333337</v>
      </c>
      <c r="N27" s="35">
        <f>ABS([1]!Table3[[#This Row],[P3_AVG (W)]])</f>
        <v>1033.3333333333333</v>
      </c>
      <c r="O27" s="39">
        <f>SUM([1]!Table3[[#This Row],[P1_AVG (W)2]:[P3_AVG (W)2]])</f>
        <v>3683.3333333333367</v>
      </c>
    </row>
    <row r="28" spans="1:15" x14ac:dyDescent="0.3">
      <c r="A28" s="28">
        <v>46241</v>
      </c>
      <c r="B28" s="29">
        <v>0.28125</v>
      </c>
      <c r="C28" s="30">
        <v>235</v>
      </c>
      <c r="D28" s="30">
        <v>233</v>
      </c>
      <c r="E28" s="30">
        <v>234</v>
      </c>
      <c r="F28" s="31">
        <v>6.333333333333333</v>
      </c>
      <c r="G28" s="31">
        <v>4.6166666666666663</v>
      </c>
      <c r="H28" s="31">
        <v>6.416666666666667</v>
      </c>
      <c r="I28" s="31">
        <v>-0.93059999999999998</v>
      </c>
      <c r="J28" s="31">
        <v>-0.2104</v>
      </c>
      <c r="K28" s="31">
        <v>0.52049999999999996</v>
      </c>
      <c r="L28" s="31">
        <f>ABS([1]!Table3[[#This Row],[P1_AVG (W)]])</f>
        <v>1383.3333333333301</v>
      </c>
      <c r="M28" s="31">
        <f>ABS([1]!Table3[[#This Row],[P2_AVG (W)]])</f>
        <v>250</v>
      </c>
      <c r="N28" s="31">
        <f>ABS([1]!Table3[[#This Row],[P3_AVG (W)]])</f>
        <v>783.33333333333337</v>
      </c>
      <c r="O28" s="38">
        <f>SUM([1]!Table3[[#This Row],[P1_AVG (W)2]:[P3_AVG (W)2]])</f>
        <v>2416.6666666666633</v>
      </c>
    </row>
    <row r="29" spans="1:15" x14ac:dyDescent="0.3">
      <c r="A29" s="32">
        <v>46241</v>
      </c>
      <c r="B29" s="33">
        <v>0.29166666666666669</v>
      </c>
      <c r="C29" s="34">
        <v>236</v>
      </c>
      <c r="D29" s="34">
        <v>234</v>
      </c>
      <c r="E29" s="34">
        <v>235</v>
      </c>
      <c r="F29" s="35">
        <v>4.05</v>
      </c>
      <c r="G29" s="35">
        <v>1.6666666666666667</v>
      </c>
      <c r="H29" s="35">
        <v>3.7666666666666666</v>
      </c>
      <c r="I29" s="35">
        <v>-0.79430000000000001</v>
      </c>
      <c r="J29" s="35">
        <v>0</v>
      </c>
      <c r="K29" s="35">
        <v>0</v>
      </c>
      <c r="L29" s="35">
        <f>ABS([1]!Table3[[#This Row],[P1_AVG (W)]])</f>
        <v>766.66666666666697</v>
      </c>
      <c r="M29" s="35">
        <f>ABS([1]!Table3[[#This Row],[P2_AVG (W)]])</f>
        <v>0</v>
      </c>
      <c r="N29" s="35">
        <f>ABS([1]!Table3[[#This Row],[P3_AVG (W)]])</f>
        <v>433.33333333333331</v>
      </c>
      <c r="O29" s="39">
        <f>SUM([1]!Table3[[#This Row],[P1_AVG (W)2]:[P3_AVG (W)2]])</f>
        <v>1200.0000000000002</v>
      </c>
    </row>
    <row r="30" spans="1:15" x14ac:dyDescent="0.3">
      <c r="A30" s="28">
        <v>46241</v>
      </c>
      <c r="B30" s="29">
        <v>0.30208333333333331</v>
      </c>
      <c r="C30" s="30">
        <v>236</v>
      </c>
      <c r="D30" s="30">
        <v>234</v>
      </c>
      <c r="E30" s="30">
        <v>235</v>
      </c>
      <c r="F30" s="31">
        <v>2.4166666666666665</v>
      </c>
      <c r="G30" s="31">
        <v>0.51666666666666672</v>
      </c>
      <c r="H30" s="31">
        <v>0.8</v>
      </c>
      <c r="I30" s="31">
        <v>0</v>
      </c>
      <c r="J30" s="31">
        <v>0</v>
      </c>
      <c r="K30" s="31">
        <v>0</v>
      </c>
      <c r="L30" s="31">
        <f>ABS([1]!Table3[[#This Row],[P1_AVG (W)]])</f>
        <v>216.666666666667</v>
      </c>
      <c r="M30" s="31">
        <f>ABS([1]!Table3[[#This Row],[P2_AVG (W)]])</f>
        <v>133.33333333333334</v>
      </c>
      <c r="N30" s="31">
        <f>ABS([1]!Table3[[#This Row],[P3_AVG (W)]])</f>
        <v>50</v>
      </c>
      <c r="O30" s="38">
        <f>SUM([1]!Table3[[#This Row],[P1_AVG (W)2]:[P3_AVG (W)2]])</f>
        <v>400.00000000000034</v>
      </c>
    </row>
    <row r="31" spans="1:15" x14ac:dyDescent="0.3">
      <c r="A31" s="32">
        <v>46241</v>
      </c>
      <c r="B31" s="33">
        <v>0.3125</v>
      </c>
      <c r="C31" s="34">
        <v>236</v>
      </c>
      <c r="D31" s="34">
        <v>234</v>
      </c>
      <c r="E31" s="34">
        <v>235</v>
      </c>
      <c r="F31" s="35">
        <v>3.55</v>
      </c>
      <c r="G31" s="35">
        <v>3.35</v>
      </c>
      <c r="H31" s="35">
        <v>1.5833333333333333</v>
      </c>
      <c r="I31" s="35">
        <v>0</v>
      </c>
      <c r="J31" s="35">
        <v>0</v>
      </c>
      <c r="K31" s="35">
        <v>0</v>
      </c>
      <c r="L31" s="35">
        <f>ABS([1]!Table3[[#This Row],[P1_AVG (W)]])</f>
        <v>300</v>
      </c>
      <c r="M31" s="35">
        <f>ABS([1]!Table3[[#This Row],[P2_AVG (W)]])</f>
        <v>516.66666666666663</v>
      </c>
      <c r="N31" s="35">
        <f>ABS([1]!Table3[[#This Row],[P3_AVG (W)]])</f>
        <v>16.666666666666668</v>
      </c>
      <c r="O31" s="39">
        <f>SUM([1]!Table3[[#This Row],[P1_AVG (W)2]:[P3_AVG (W)2]])</f>
        <v>833.33333333333326</v>
      </c>
    </row>
    <row r="32" spans="1:15" x14ac:dyDescent="0.3">
      <c r="A32" s="28">
        <v>46241</v>
      </c>
      <c r="B32" s="29">
        <v>0.32291666666666669</v>
      </c>
      <c r="C32" s="30">
        <v>232</v>
      </c>
      <c r="D32" s="30">
        <v>229</v>
      </c>
      <c r="E32" s="30">
        <v>231</v>
      </c>
      <c r="F32" s="31">
        <v>12.4</v>
      </c>
      <c r="G32" s="31">
        <v>5.7833333333333332</v>
      </c>
      <c r="H32" s="31">
        <v>3.95</v>
      </c>
      <c r="I32" s="31">
        <v>0.97750000000000004</v>
      </c>
      <c r="J32" s="31">
        <v>0</v>
      </c>
      <c r="K32" s="31">
        <v>0</v>
      </c>
      <c r="L32" s="31">
        <f>ABS([1]!Table3[[#This Row],[P1_AVG (W)]])</f>
        <v>2716.6666666666702</v>
      </c>
      <c r="M32" s="31">
        <f>ABS([1]!Table3[[#This Row],[P2_AVG (W)]])</f>
        <v>833.33333333333337</v>
      </c>
      <c r="N32" s="31">
        <f>ABS([1]!Table3[[#This Row],[P3_AVG (W)]])</f>
        <v>350</v>
      </c>
      <c r="O32" s="38">
        <f>SUM([1]!Table3[[#This Row],[P1_AVG (W)2]:[P3_AVG (W)2]])</f>
        <v>3900.0000000000036</v>
      </c>
    </row>
    <row r="33" spans="1:15" x14ac:dyDescent="0.3">
      <c r="A33" s="32">
        <v>46241</v>
      </c>
      <c r="B33" s="33">
        <v>0.33333333333333331</v>
      </c>
      <c r="C33" s="34">
        <v>231</v>
      </c>
      <c r="D33" s="34">
        <v>229</v>
      </c>
      <c r="E33" s="34">
        <v>230</v>
      </c>
      <c r="F33" s="35">
        <v>14.55</v>
      </c>
      <c r="G33" s="35">
        <v>5.15</v>
      </c>
      <c r="H33" s="35">
        <v>4.583333333333333</v>
      </c>
      <c r="I33" s="35">
        <v>0.97989999999999999</v>
      </c>
      <c r="J33" s="35">
        <v>0</v>
      </c>
      <c r="K33" s="35">
        <v>0</v>
      </c>
      <c r="L33" s="35">
        <f>ABS([1]!Table3[[#This Row],[P1_AVG (W)]])</f>
        <v>3183.3333333333298</v>
      </c>
      <c r="M33" s="35">
        <f>ABS([1]!Table3[[#This Row],[P2_AVG (W)]])</f>
        <v>566.66666666666663</v>
      </c>
      <c r="N33" s="35">
        <f>ABS([1]!Table3[[#This Row],[P3_AVG (W)]])</f>
        <v>0</v>
      </c>
      <c r="O33" s="39">
        <f>SUM([1]!Table3[[#This Row],[P1_AVG (W)2]:[P3_AVG (W)2]])</f>
        <v>3749.9999999999964</v>
      </c>
    </row>
    <row r="34" spans="1:15" x14ac:dyDescent="0.3">
      <c r="A34" s="28">
        <v>46241</v>
      </c>
      <c r="B34" s="29">
        <v>0.34375</v>
      </c>
      <c r="C34" s="30">
        <v>230</v>
      </c>
      <c r="D34" s="30">
        <v>228</v>
      </c>
      <c r="E34" s="30">
        <v>229</v>
      </c>
      <c r="F34" s="31">
        <v>16.966666666666665</v>
      </c>
      <c r="G34" s="31">
        <v>6.416666666666667</v>
      </c>
      <c r="H34" s="31">
        <v>13.95</v>
      </c>
      <c r="I34" s="31">
        <v>0.96940000000000004</v>
      </c>
      <c r="J34" s="31">
        <v>0</v>
      </c>
      <c r="K34" s="31">
        <v>0</v>
      </c>
      <c r="L34" s="31">
        <f>ABS([1]!Table3[[#This Row],[P1_AVG (W)]])</f>
        <v>3616.6666666666702</v>
      </c>
      <c r="M34" s="31">
        <f>ABS([1]!Table3[[#This Row],[P2_AVG (W)]])</f>
        <v>750</v>
      </c>
      <c r="N34" s="31">
        <f>ABS([1]!Table3[[#This Row],[P3_AVG (W)]])</f>
        <v>1516.6666666666667</v>
      </c>
      <c r="O34" s="38">
        <f>SUM([1]!Table3[[#This Row],[P1_AVG (W)2]:[P3_AVG (W)2]])</f>
        <v>5883.3333333333367</v>
      </c>
    </row>
    <row r="35" spans="1:15" x14ac:dyDescent="0.3">
      <c r="A35" s="32">
        <v>46241</v>
      </c>
      <c r="B35" s="33">
        <v>0.35416666666666669</v>
      </c>
      <c r="C35" s="34">
        <v>230</v>
      </c>
      <c r="D35" s="34">
        <v>227</v>
      </c>
      <c r="E35" s="34">
        <v>229</v>
      </c>
      <c r="F35" s="35">
        <v>12.15</v>
      </c>
      <c r="G35" s="35">
        <v>10.616666666666667</v>
      </c>
      <c r="H35" s="35">
        <v>13.833333333333334</v>
      </c>
      <c r="I35" s="35">
        <v>0</v>
      </c>
      <c r="J35" s="35">
        <v>0.97650000000000003</v>
      </c>
      <c r="K35" s="35">
        <v>0</v>
      </c>
      <c r="L35" s="35">
        <f>ABS([1]!Table3[[#This Row],[P1_AVG (W)]])</f>
        <v>1650</v>
      </c>
      <c r="M35" s="35">
        <f>ABS([1]!Table3[[#This Row],[P2_AVG (W)]])</f>
        <v>1666.6666666666667</v>
      </c>
      <c r="N35" s="35">
        <f>ABS([1]!Table3[[#This Row],[P3_AVG (W)]])</f>
        <v>1550</v>
      </c>
      <c r="O35" s="39">
        <f>SUM([1]!Table3[[#This Row],[P1_AVG (W)2]:[P3_AVG (W)2]])</f>
        <v>4866.666666666667</v>
      </c>
    </row>
    <row r="36" spans="1:15" x14ac:dyDescent="0.3">
      <c r="A36" s="28">
        <v>46241</v>
      </c>
      <c r="B36" s="29">
        <v>0.36458333333333331</v>
      </c>
      <c r="C36" s="30">
        <v>229</v>
      </c>
      <c r="D36" s="30">
        <v>227</v>
      </c>
      <c r="E36" s="30">
        <v>228</v>
      </c>
      <c r="F36" s="31">
        <v>6.35</v>
      </c>
      <c r="G36" s="31">
        <v>14.983333333333333</v>
      </c>
      <c r="H36" s="31">
        <v>7.4833333333333334</v>
      </c>
      <c r="I36" s="31">
        <v>0</v>
      </c>
      <c r="J36" s="31">
        <v>0.78159999999999996</v>
      </c>
      <c r="K36" s="31">
        <v>0</v>
      </c>
      <c r="L36" s="31">
        <f>ABS([1]!Table3[[#This Row],[P1_AVG (W)]])</f>
        <v>83.3333333333333</v>
      </c>
      <c r="M36" s="31">
        <f>ABS([1]!Table3[[#This Row],[P2_AVG (W)]])</f>
        <v>2316.6666666666665</v>
      </c>
      <c r="N36" s="31">
        <f>ABS([1]!Table3[[#This Row],[P3_AVG (W)]])</f>
        <v>600</v>
      </c>
      <c r="O36" s="38">
        <f>SUM([1]!Table3[[#This Row],[P1_AVG (W)2]:[P3_AVG (W)2]])</f>
        <v>3000</v>
      </c>
    </row>
    <row r="37" spans="1:15" x14ac:dyDescent="0.3">
      <c r="A37" s="32">
        <v>46241</v>
      </c>
      <c r="B37" s="33">
        <v>0.375</v>
      </c>
      <c r="C37" s="34">
        <v>229</v>
      </c>
      <c r="D37" s="34">
        <v>226</v>
      </c>
      <c r="E37" s="34">
        <v>228</v>
      </c>
      <c r="F37" s="35">
        <v>7.1166666666666663</v>
      </c>
      <c r="G37" s="35">
        <v>16.983333333333334</v>
      </c>
      <c r="H37" s="35">
        <v>6.25</v>
      </c>
      <c r="I37" s="35">
        <v>0</v>
      </c>
      <c r="J37" s="35">
        <v>0.74509999999999998</v>
      </c>
      <c r="K37" s="35">
        <v>0</v>
      </c>
      <c r="L37" s="35">
        <f>ABS([1]!Table3[[#This Row],[P1_AVG (W)]])</f>
        <v>900</v>
      </c>
      <c r="M37" s="35">
        <f>ABS([1]!Table3[[#This Row],[P2_AVG (W)]])</f>
        <v>2600</v>
      </c>
      <c r="N37" s="35">
        <f>ABS([1]!Table3[[#This Row],[P3_AVG (W)]])</f>
        <v>316.66666666666669</v>
      </c>
      <c r="O37" s="39">
        <f>SUM([1]!Table3[[#This Row],[P1_AVG (W)2]:[P3_AVG (W)2]])</f>
        <v>3816.6666666666665</v>
      </c>
    </row>
    <row r="38" spans="1:15" x14ac:dyDescent="0.3">
      <c r="A38" s="28">
        <v>46241</v>
      </c>
      <c r="B38" s="29">
        <v>0.38541666666666669</v>
      </c>
      <c r="C38" s="30">
        <v>229</v>
      </c>
      <c r="D38" s="30">
        <v>227</v>
      </c>
      <c r="E38" s="30">
        <v>228</v>
      </c>
      <c r="F38" s="31">
        <v>7.7666666666666666</v>
      </c>
      <c r="G38" s="31">
        <v>19.133333333333333</v>
      </c>
      <c r="H38" s="31">
        <v>3.7333333333333334</v>
      </c>
      <c r="I38" s="31">
        <v>0.97</v>
      </c>
      <c r="J38" s="31">
        <v>0.68279999999999996</v>
      </c>
      <c r="K38" s="31">
        <v>-4.7500000000000001E-2</v>
      </c>
      <c r="L38" s="31">
        <f>ABS([1]!Table3[[#This Row],[P1_AVG (W)]])</f>
        <v>1700</v>
      </c>
      <c r="M38" s="31">
        <f>ABS([1]!Table3[[#This Row],[P2_AVG (W)]])</f>
        <v>2950</v>
      </c>
      <c r="N38" s="31">
        <f>ABS([1]!Table3[[#This Row],[P3_AVG (W)]])</f>
        <v>16.666666666666668</v>
      </c>
      <c r="O38" s="38">
        <f>SUM([1]!Table3[[#This Row],[P1_AVG (W)2]:[P3_AVG (W)2]])</f>
        <v>4666.666666666667</v>
      </c>
    </row>
    <row r="39" spans="1:15" x14ac:dyDescent="0.3">
      <c r="A39" s="32">
        <v>46241</v>
      </c>
      <c r="B39" s="33">
        <v>0.39583333333333331</v>
      </c>
      <c r="C39" s="34">
        <v>229</v>
      </c>
      <c r="D39" s="34">
        <v>227</v>
      </c>
      <c r="E39" s="34">
        <v>229</v>
      </c>
      <c r="F39" s="35">
        <v>8.6166666666666671</v>
      </c>
      <c r="G39" s="35">
        <v>18.716666666666665</v>
      </c>
      <c r="H39" s="35">
        <v>4.583333333333333</v>
      </c>
      <c r="I39" s="35">
        <v>0</v>
      </c>
      <c r="J39" s="35">
        <v>0.68830000000000002</v>
      </c>
      <c r="K39" s="35">
        <v>-1.9E-3</v>
      </c>
      <c r="L39" s="35">
        <f>ABS([1]!Table3[[#This Row],[P1_AVG (W)]])</f>
        <v>1866.6666666666699</v>
      </c>
      <c r="M39" s="35">
        <f>ABS([1]!Table3[[#This Row],[P2_AVG (W)]])</f>
        <v>2883.3333333333335</v>
      </c>
      <c r="N39" s="35">
        <f>ABS([1]!Table3[[#This Row],[P3_AVG (W)]])</f>
        <v>0</v>
      </c>
      <c r="O39" s="39">
        <f>SUM([1]!Table3[[#This Row],[P1_AVG (W)2]:[P3_AVG (W)2]])</f>
        <v>4750.0000000000036</v>
      </c>
    </row>
    <row r="40" spans="1:15" x14ac:dyDescent="0.3">
      <c r="A40" s="28">
        <v>46241</v>
      </c>
      <c r="B40" s="29">
        <v>0.40625</v>
      </c>
      <c r="C40" s="30">
        <v>229</v>
      </c>
      <c r="D40" s="30">
        <v>227</v>
      </c>
      <c r="E40" s="30">
        <v>230</v>
      </c>
      <c r="F40" s="31">
        <v>9.5500000000000007</v>
      </c>
      <c r="G40" s="31">
        <v>20.816666666666666</v>
      </c>
      <c r="H40" s="31">
        <v>5.3833333333333337</v>
      </c>
      <c r="I40" s="31">
        <v>0</v>
      </c>
      <c r="J40" s="31">
        <v>0.66920000000000002</v>
      </c>
      <c r="K40" s="31">
        <v>-2.9700000000000001E-2</v>
      </c>
      <c r="L40" s="31">
        <f>ABS([1]!Table3[[#This Row],[P1_AVG (W)]])</f>
        <v>2116.6666666666702</v>
      </c>
      <c r="M40" s="31">
        <f>ABS([1]!Table3[[#This Row],[P2_AVG (W)]])</f>
        <v>3166.6666666666665</v>
      </c>
      <c r="N40" s="31">
        <f>ABS([1]!Table3[[#This Row],[P3_AVG (W)]])</f>
        <v>16.666666666666668</v>
      </c>
      <c r="O40" s="38">
        <f>SUM([1]!Table3[[#This Row],[P1_AVG (W)2]:[P3_AVG (W)2]])</f>
        <v>5300.0000000000036</v>
      </c>
    </row>
    <row r="41" spans="1:15" x14ac:dyDescent="0.3">
      <c r="A41" s="32">
        <v>46241</v>
      </c>
      <c r="B41" s="33">
        <v>0.41666666666666669</v>
      </c>
      <c r="C41" s="34">
        <v>229</v>
      </c>
      <c r="D41" s="34">
        <v>227</v>
      </c>
      <c r="E41" s="34">
        <v>229</v>
      </c>
      <c r="F41" s="35">
        <v>10.366666666666667</v>
      </c>
      <c r="G41" s="35">
        <v>22.083333333333332</v>
      </c>
      <c r="H41" s="35">
        <v>6.2166666666666668</v>
      </c>
      <c r="I41" s="35">
        <v>0.83079999999999998</v>
      </c>
      <c r="J41" s="35">
        <v>0.65900000000000003</v>
      </c>
      <c r="K41" s="35">
        <v>-6.4799999999999996E-2</v>
      </c>
      <c r="L41" s="35">
        <f>ABS([1]!Table3[[#This Row],[P1_AVG (W)]])</f>
        <v>2016.6666666666699</v>
      </c>
      <c r="M41" s="35">
        <f>ABS([1]!Table3[[#This Row],[P2_AVG (W)]])</f>
        <v>3300</v>
      </c>
      <c r="N41" s="35">
        <f>ABS([1]!Table3[[#This Row],[P3_AVG (W)]])</f>
        <v>83.333333333333329</v>
      </c>
      <c r="O41" s="39">
        <f>SUM([1]!Table3[[#This Row],[P1_AVG (W)2]:[P3_AVG (W)2]])</f>
        <v>5400.0000000000027</v>
      </c>
    </row>
    <row r="42" spans="1:15" x14ac:dyDescent="0.3">
      <c r="A42" s="28">
        <v>46241</v>
      </c>
      <c r="B42" s="29">
        <v>0.42708333333333331</v>
      </c>
      <c r="C42" s="30">
        <v>229</v>
      </c>
      <c r="D42" s="30">
        <v>227</v>
      </c>
      <c r="E42" s="30">
        <v>229</v>
      </c>
      <c r="F42" s="31">
        <v>11.083333333333334</v>
      </c>
      <c r="G42" s="31">
        <v>15.533333333333333</v>
      </c>
      <c r="H42" s="31">
        <v>6.833333333333333</v>
      </c>
      <c r="I42" s="31">
        <v>0.83699999999999997</v>
      </c>
      <c r="J42" s="31">
        <v>0.8931</v>
      </c>
      <c r="K42" s="31">
        <v>-5.6300000000000003E-2</v>
      </c>
      <c r="L42" s="31">
        <f>ABS([1]!Table3[[#This Row],[P1_AVG (W)]])</f>
        <v>2133.3333333333298</v>
      </c>
      <c r="M42" s="31">
        <f>ABS([1]!Table3[[#This Row],[P2_AVG (W)]])</f>
        <v>3150</v>
      </c>
      <c r="N42" s="31">
        <f>ABS([1]!Table3[[#This Row],[P3_AVG (W)]])</f>
        <v>83.333333333333329</v>
      </c>
      <c r="O42" s="38">
        <f>SUM([1]!Table3[[#This Row],[P1_AVG (W)2]:[P3_AVG (W)2]])</f>
        <v>5366.6666666666633</v>
      </c>
    </row>
    <row r="43" spans="1:15" x14ac:dyDescent="0.3">
      <c r="A43" s="32">
        <v>46241</v>
      </c>
      <c r="B43" s="33">
        <v>0.4375</v>
      </c>
      <c r="C43" s="34">
        <v>228</v>
      </c>
      <c r="D43" s="34">
        <v>227</v>
      </c>
      <c r="E43" s="34">
        <v>229</v>
      </c>
      <c r="F43" s="35">
        <v>11.383333333333333</v>
      </c>
      <c r="G43" s="35">
        <v>15.866666666666667</v>
      </c>
      <c r="H43" s="35">
        <v>7.1166666666666663</v>
      </c>
      <c r="I43" s="35">
        <v>0.86219999999999997</v>
      </c>
      <c r="J43" s="35">
        <v>0.89629999999999999</v>
      </c>
      <c r="K43" s="35">
        <v>-0.13489999999999999</v>
      </c>
      <c r="L43" s="35">
        <f>ABS([1]!Table3[[#This Row],[P1_AVG (W)]])</f>
        <v>2233.3333333333298</v>
      </c>
      <c r="M43" s="35">
        <f>ABS([1]!Table3[[#This Row],[P2_AVG (W)]])</f>
        <v>3183.3333333333335</v>
      </c>
      <c r="N43" s="35">
        <f>ABS([1]!Table3[[#This Row],[P3_AVG (W)]])</f>
        <v>133.33333333333334</v>
      </c>
      <c r="O43" s="39">
        <f>SUM([1]!Table3[[#This Row],[P1_AVG (W)2]:[P3_AVG (W)2]])</f>
        <v>5549.9999999999964</v>
      </c>
    </row>
    <row r="44" spans="1:15" x14ac:dyDescent="0.3">
      <c r="A44" s="28">
        <v>46241</v>
      </c>
      <c r="B44" s="29">
        <v>0.44791666666666669</v>
      </c>
      <c r="C44" s="30">
        <v>228</v>
      </c>
      <c r="D44" s="30">
        <v>227</v>
      </c>
      <c r="E44" s="30">
        <v>229</v>
      </c>
      <c r="F44" s="31">
        <v>12.533333333333333</v>
      </c>
      <c r="G44" s="31">
        <v>16.566666666666666</v>
      </c>
      <c r="H44" s="31">
        <v>7.9666666666666668</v>
      </c>
      <c r="I44" s="31">
        <v>0.85589999999999999</v>
      </c>
      <c r="J44" s="31">
        <v>0.9042</v>
      </c>
      <c r="K44" s="31">
        <v>-0.24440000000000001</v>
      </c>
      <c r="L44" s="31">
        <f>ABS([1]!Table3[[#This Row],[P1_AVG (W)]])</f>
        <v>2383.3333333333298</v>
      </c>
      <c r="M44" s="31">
        <f>ABS([1]!Table3[[#This Row],[P2_AVG (W)]])</f>
        <v>3266.6666666666665</v>
      </c>
      <c r="N44" s="31">
        <f>ABS([1]!Table3[[#This Row],[P3_AVG (W)]])</f>
        <v>233.33333333333334</v>
      </c>
      <c r="O44" s="38">
        <f>SUM([1]!Table3[[#This Row],[P1_AVG (W)2]:[P3_AVG (W)2]])</f>
        <v>5883.3333333333294</v>
      </c>
    </row>
    <row r="45" spans="1:15" x14ac:dyDescent="0.3">
      <c r="A45" s="32">
        <v>46241</v>
      </c>
      <c r="B45" s="33">
        <v>0.45833333333333331</v>
      </c>
      <c r="C45" s="34">
        <v>228</v>
      </c>
      <c r="D45" s="34">
        <v>226</v>
      </c>
      <c r="E45" s="34">
        <v>228</v>
      </c>
      <c r="F45" s="35">
        <v>11.383333333333333</v>
      </c>
      <c r="G45" s="35">
        <v>15.616666666666667</v>
      </c>
      <c r="H45" s="35">
        <v>7.5166666666666666</v>
      </c>
      <c r="I45" s="35">
        <v>0.90039999999999998</v>
      </c>
      <c r="J45" s="35">
        <v>0.90839999999999999</v>
      </c>
      <c r="K45" s="35">
        <v>-0.17829999999999999</v>
      </c>
      <c r="L45" s="35">
        <f>ABS([1]!Table3[[#This Row],[P1_AVG (W)]])</f>
        <v>2333.3333333333298</v>
      </c>
      <c r="M45" s="35">
        <f>ABS([1]!Table3[[#This Row],[P2_AVG (W)]])</f>
        <v>3183.3333333333335</v>
      </c>
      <c r="N45" s="35">
        <f>ABS([1]!Table3[[#This Row],[P3_AVG (W)]])</f>
        <v>266.66666666666669</v>
      </c>
      <c r="O45" s="39">
        <f>SUM([1]!Table3[[#This Row],[P1_AVG (W)2]:[P3_AVG (W)2]])</f>
        <v>5783.3333333333303</v>
      </c>
    </row>
    <row r="46" spans="1:15" x14ac:dyDescent="0.3">
      <c r="A46" s="28">
        <v>46241</v>
      </c>
      <c r="B46" s="29">
        <v>0.46875</v>
      </c>
      <c r="C46" s="30">
        <v>227</v>
      </c>
      <c r="D46" s="30">
        <v>226</v>
      </c>
      <c r="E46" s="30">
        <v>228</v>
      </c>
      <c r="F46" s="31">
        <v>10.3</v>
      </c>
      <c r="G46" s="31">
        <v>15.2</v>
      </c>
      <c r="H46" s="31">
        <v>7.0166666666666666</v>
      </c>
      <c r="I46" s="31">
        <v>0.86060000000000003</v>
      </c>
      <c r="J46" s="31">
        <v>0.91320000000000001</v>
      </c>
      <c r="K46" s="31">
        <v>-9.5100000000000004E-2</v>
      </c>
      <c r="L46" s="31">
        <f>ABS([1]!Table3[[#This Row],[P1_AVG (W)]])</f>
        <v>2050</v>
      </c>
      <c r="M46" s="31">
        <f>ABS([1]!Table3[[#This Row],[P2_AVG (W)]])</f>
        <v>3133.3333333333335</v>
      </c>
      <c r="N46" s="31">
        <f>ABS([1]!Table3[[#This Row],[P3_AVG (W)]])</f>
        <v>150</v>
      </c>
      <c r="O46" s="38">
        <f>SUM([1]!Table3[[#This Row],[P1_AVG (W)2]:[P3_AVG (W)2]])</f>
        <v>5333.3333333333339</v>
      </c>
    </row>
    <row r="47" spans="1:15" x14ac:dyDescent="0.3">
      <c r="A47" s="32">
        <v>46241</v>
      </c>
      <c r="B47" s="33">
        <v>0.47916666666666669</v>
      </c>
      <c r="C47" s="34">
        <v>227</v>
      </c>
      <c r="D47" s="34">
        <v>225</v>
      </c>
      <c r="E47" s="34">
        <v>227</v>
      </c>
      <c r="F47" s="35">
        <v>11.416666666666666</v>
      </c>
      <c r="G47" s="35">
        <v>15.233333333333333</v>
      </c>
      <c r="H47" s="35">
        <v>6.166666666666667</v>
      </c>
      <c r="I47" s="35">
        <v>0.876</v>
      </c>
      <c r="J47" s="35">
        <v>0.91449999999999998</v>
      </c>
      <c r="K47" s="35">
        <v>-0.3155</v>
      </c>
      <c r="L47" s="35">
        <f>ABS([1]!Table3[[#This Row],[P1_AVG (W)]])</f>
        <v>2266.6666666666702</v>
      </c>
      <c r="M47" s="35">
        <f>ABS([1]!Table3[[#This Row],[P2_AVG (W)]])</f>
        <v>3116.6666666666665</v>
      </c>
      <c r="N47" s="35">
        <f>ABS([1]!Table3[[#This Row],[P3_AVG (W)]])</f>
        <v>83.333333333333329</v>
      </c>
      <c r="O47" s="39">
        <f>SUM([1]!Table3[[#This Row],[P1_AVG (W)2]:[P3_AVG (W)2]])</f>
        <v>5466.6666666666697</v>
      </c>
    </row>
    <row r="48" spans="1:15" x14ac:dyDescent="0.3">
      <c r="A48" s="28">
        <v>46241</v>
      </c>
      <c r="B48" s="29">
        <v>0.48958333333333331</v>
      </c>
      <c r="C48" s="30">
        <v>226</v>
      </c>
      <c r="D48" s="30">
        <v>225</v>
      </c>
      <c r="E48" s="30">
        <v>227</v>
      </c>
      <c r="F48" s="31">
        <v>10.3</v>
      </c>
      <c r="G48" s="31">
        <v>14.116666666666667</v>
      </c>
      <c r="H48" s="31">
        <v>6.416666666666667</v>
      </c>
      <c r="I48" s="31">
        <v>0.65059999999999996</v>
      </c>
      <c r="J48" s="31">
        <v>0.96009999999999995</v>
      </c>
      <c r="K48" s="31">
        <v>-0.154</v>
      </c>
      <c r="L48" s="31">
        <f>ABS([1]!Table3[[#This Row],[P1_AVG (W)]])</f>
        <v>1316.6666666666699</v>
      </c>
      <c r="M48" s="31">
        <f>ABS([1]!Table3[[#This Row],[P2_AVG (W)]])</f>
        <v>2883.3333333333335</v>
      </c>
      <c r="N48" s="31">
        <f>ABS([1]!Table3[[#This Row],[P3_AVG (W)]])</f>
        <v>116.66666666666667</v>
      </c>
      <c r="O48" s="38">
        <f>SUM([1]!Table3[[#This Row],[P1_AVG (W)2]:[P3_AVG (W)2]])</f>
        <v>4316.6666666666706</v>
      </c>
    </row>
    <row r="49" spans="1:15" x14ac:dyDescent="0.3">
      <c r="A49" s="32">
        <v>46241</v>
      </c>
      <c r="B49" s="33">
        <v>0.5</v>
      </c>
      <c r="C49" s="34">
        <v>226</v>
      </c>
      <c r="D49" s="34">
        <v>225</v>
      </c>
      <c r="E49" s="34">
        <v>227</v>
      </c>
      <c r="F49" s="35">
        <v>11.15</v>
      </c>
      <c r="G49" s="35">
        <v>14.266666666666667</v>
      </c>
      <c r="H49" s="35">
        <v>8.5500000000000007</v>
      </c>
      <c r="I49" s="35">
        <v>0.59360000000000002</v>
      </c>
      <c r="J49" s="35">
        <v>-0.93789999999999996</v>
      </c>
      <c r="K49" s="35">
        <v>-0.29680000000000001</v>
      </c>
      <c r="L49" s="35">
        <f>ABS([1]!Table3[[#This Row],[P1_AVG (W)]])</f>
        <v>633.33333333333303</v>
      </c>
      <c r="M49" s="35">
        <f>ABS([1]!Table3[[#This Row],[P2_AVG (W)]])</f>
        <v>2616.6666666666665</v>
      </c>
      <c r="N49" s="35">
        <f>ABS([1]!Table3[[#This Row],[P3_AVG (W)]])</f>
        <v>416.66666666666669</v>
      </c>
      <c r="O49" s="39">
        <f>SUM([1]!Table3[[#This Row],[P1_AVG (W)2]:[P3_AVG (W)2]])</f>
        <v>3666.6666666666661</v>
      </c>
    </row>
    <row r="50" spans="1:15" x14ac:dyDescent="0.3">
      <c r="A50" s="28">
        <v>46241</v>
      </c>
      <c r="B50" s="29">
        <v>0.51041666666666663</v>
      </c>
      <c r="C50" s="30">
        <v>226</v>
      </c>
      <c r="D50" s="30">
        <v>224</v>
      </c>
      <c r="E50" s="30">
        <v>226</v>
      </c>
      <c r="F50" s="31">
        <v>11.25</v>
      </c>
      <c r="G50" s="31">
        <v>13.666666666666666</v>
      </c>
      <c r="H50" s="31">
        <v>11.616666666666667</v>
      </c>
      <c r="I50" s="31">
        <v>0</v>
      </c>
      <c r="J50" s="31">
        <v>-0.57979999999999998</v>
      </c>
      <c r="K50" s="31">
        <v>0</v>
      </c>
      <c r="L50" s="31">
        <f>ABS([1]!Table3[[#This Row],[P1_AVG (W)]])</f>
        <v>150</v>
      </c>
      <c r="M50" s="31">
        <f>ABS([1]!Table3[[#This Row],[P2_AVG (W)]])</f>
        <v>1533.3333333333333</v>
      </c>
      <c r="N50" s="31">
        <f>ABS([1]!Table3[[#This Row],[P3_AVG (W)]])</f>
        <v>916.66666666666663</v>
      </c>
      <c r="O50" s="38">
        <f>SUM([1]!Table3[[#This Row],[P1_AVG (W)2]:[P3_AVG (W)2]])</f>
        <v>2600</v>
      </c>
    </row>
    <row r="51" spans="1:15" x14ac:dyDescent="0.3">
      <c r="A51" s="32">
        <v>46241</v>
      </c>
      <c r="B51" s="33">
        <v>0.52083333333333337</v>
      </c>
      <c r="C51" s="34">
        <v>227</v>
      </c>
      <c r="D51" s="34">
        <v>226</v>
      </c>
      <c r="E51" s="34">
        <v>227</v>
      </c>
      <c r="F51" s="35">
        <v>16.616666666666667</v>
      </c>
      <c r="G51" s="35">
        <v>13.45</v>
      </c>
      <c r="H51" s="35">
        <v>11.1</v>
      </c>
      <c r="I51" s="35">
        <v>-0.89959999999999996</v>
      </c>
      <c r="J51" s="35">
        <v>-0.86019999999999996</v>
      </c>
      <c r="K51" s="35">
        <v>0</v>
      </c>
      <c r="L51" s="35">
        <f>ABS([1]!Table3[[#This Row],[P1_AVG (W)]])</f>
        <v>3083.3333333333298</v>
      </c>
      <c r="M51" s="35">
        <f>ABS([1]!Table3[[#This Row],[P2_AVG (W)]])</f>
        <v>2233.3333333333335</v>
      </c>
      <c r="N51" s="35">
        <f>ABS([1]!Table3[[#This Row],[P3_AVG (W)]])</f>
        <v>683.33333333333337</v>
      </c>
      <c r="O51" s="39">
        <f>SUM([1]!Table3[[#This Row],[P1_AVG (W)2]:[P3_AVG (W)2]])</f>
        <v>5999.9999999999964</v>
      </c>
    </row>
    <row r="52" spans="1:15" x14ac:dyDescent="0.3">
      <c r="A52" s="28">
        <v>46241</v>
      </c>
      <c r="B52" s="29">
        <v>0.53125</v>
      </c>
      <c r="C52" s="30">
        <v>227</v>
      </c>
      <c r="D52" s="30">
        <v>226</v>
      </c>
      <c r="E52" s="30">
        <v>227</v>
      </c>
      <c r="F52" s="31">
        <v>19.583333333333332</v>
      </c>
      <c r="G52" s="31">
        <v>14.433333333333334</v>
      </c>
      <c r="H52" s="31">
        <v>11.216666666666667</v>
      </c>
      <c r="I52" s="31">
        <v>-0.98680000000000001</v>
      </c>
      <c r="J52" s="31">
        <v>0.85060000000000002</v>
      </c>
      <c r="K52" s="31">
        <v>0</v>
      </c>
      <c r="L52" s="31">
        <f>ABS([1]!Table3[[#This Row],[P1_AVG (W)]])</f>
        <v>4366.6666666666697</v>
      </c>
      <c r="M52" s="31">
        <f>ABS([1]!Table3[[#This Row],[P2_AVG (W)]])</f>
        <v>2700</v>
      </c>
      <c r="N52" s="31">
        <f>ABS([1]!Table3[[#This Row],[P3_AVG (W)]])</f>
        <v>1083.3333333333333</v>
      </c>
      <c r="O52" s="38">
        <f>SUM([1]!Table3[[#This Row],[P1_AVG (W)2]:[P3_AVG (W)2]])</f>
        <v>8150.0000000000027</v>
      </c>
    </row>
    <row r="53" spans="1:15" x14ac:dyDescent="0.3">
      <c r="A53" s="32">
        <v>46210</v>
      </c>
      <c r="B53" s="33">
        <v>0.58333333333333337</v>
      </c>
      <c r="C53" s="34">
        <v>232</v>
      </c>
      <c r="D53" s="34">
        <v>231</v>
      </c>
      <c r="E53" s="34">
        <v>232</v>
      </c>
      <c r="F53" s="35">
        <v>10.066666666666666</v>
      </c>
      <c r="G53" s="35">
        <v>10.95</v>
      </c>
      <c r="H53" s="35">
        <v>14.966666666666667</v>
      </c>
      <c r="I53" s="35">
        <v>0</v>
      </c>
      <c r="J53" s="35">
        <v>-0.81089999999999995</v>
      </c>
      <c r="K53" s="35">
        <v>0</v>
      </c>
      <c r="L53" s="35">
        <f>ABS([1]!Table3[[#This Row],[P1_AVG (W)]])</f>
        <v>66.6666666666667</v>
      </c>
      <c r="M53" s="35">
        <f>ABS([1]!Table3[[#This Row],[P2_AVG (W)]])</f>
        <v>1500</v>
      </c>
      <c r="N53" s="35">
        <f>ABS([1]!Table3[[#This Row],[P3_AVG (W)]])</f>
        <v>1316.6666666666667</v>
      </c>
      <c r="O53" s="39">
        <f>SUM([1]!Table3[[#This Row],[P1_AVG (W)2]:[P3_AVG (W)2]])</f>
        <v>2883.3333333333335</v>
      </c>
    </row>
    <row r="54" spans="1:15" x14ac:dyDescent="0.3">
      <c r="A54" s="28">
        <v>46210</v>
      </c>
      <c r="B54" s="29">
        <v>0.59375</v>
      </c>
      <c r="C54" s="30">
        <v>231</v>
      </c>
      <c r="D54" s="30">
        <v>229</v>
      </c>
      <c r="E54" s="30">
        <v>231</v>
      </c>
      <c r="F54" s="31">
        <v>8.8000000000000007</v>
      </c>
      <c r="G54" s="31">
        <v>10.050000000000001</v>
      </c>
      <c r="H54" s="31">
        <v>14.266666666666667</v>
      </c>
      <c r="I54" s="31">
        <v>0</v>
      </c>
      <c r="J54" s="31">
        <v>-0.76780000000000004</v>
      </c>
      <c r="K54" s="31">
        <v>0</v>
      </c>
      <c r="L54" s="31">
        <f>ABS([1]!Table3[[#This Row],[P1_AVG (W)]])</f>
        <v>33.3333333333333</v>
      </c>
      <c r="M54" s="31">
        <f>ABS([1]!Table3[[#This Row],[P2_AVG (W)]])</f>
        <v>1383.3333333333333</v>
      </c>
      <c r="N54" s="31">
        <f>ABS([1]!Table3[[#This Row],[P3_AVG (W)]])</f>
        <v>1266.6666666666667</v>
      </c>
      <c r="O54" s="38">
        <f>SUM([1]!Table3[[#This Row],[P1_AVG (W)2]:[P3_AVG (W)2]])</f>
        <v>2683.333333333333</v>
      </c>
    </row>
    <row r="55" spans="1:15" x14ac:dyDescent="0.3">
      <c r="A55" s="32">
        <v>46210</v>
      </c>
      <c r="B55" s="33">
        <v>0.60416666666666663</v>
      </c>
      <c r="C55" s="34">
        <v>229</v>
      </c>
      <c r="D55" s="34">
        <v>228</v>
      </c>
      <c r="E55" s="34">
        <v>229</v>
      </c>
      <c r="F55" s="35">
        <v>9.9499999999999993</v>
      </c>
      <c r="G55" s="35">
        <v>9.9833333333333325</v>
      </c>
      <c r="H55" s="35">
        <v>9.4</v>
      </c>
      <c r="I55" s="35">
        <v>0</v>
      </c>
      <c r="J55" s="35">
        <v>-0.42370000000000002</v>
      </c>
      <c r="K55" s="35">
        <v>0</v>
      </c>
      <c r="L55" s="35">
        <f>ABS([1]!Table3[[#This Row],[P1_AVG (W)]])</f>
        <v>1483.3333333333301</v>
      </c>
      <c r="M55" s="35">
        <f>ABS([1]!Table3[[#This Row],[P2_AVG (W)]])</f>
        <v>750</v>
      </c>
      <c r="N55" s="35">
        <f>ABS([1]!Table3[[#This Row],[P3_AVG (W)]])</f>
        <v>583.33333333333337</v>
      </c>
      <c r="O55" s="39">
        <f>SUM([1]!Table3[[#This Row],[P1_AVG (W)2]:[P3_AVG (W)2]])</f>
        <v>2816.6666666666638</v>
      </c>
    </row>
    <row r="56" spans="1:15" x14ac:dyDescent="0.3">
      <c r="A56" s="28">
        <v>46210</v>
      </c>
      <c r="B56" s="29">
        <v>0.61458333333333337</v>
      </c>
      <c r="C56" s="30">
        <v>228</v>
      </c>
      <c r="D56" s="30">
        <v>227</v>
      </c>
      <c r="E56" s="30">
        <v>228</v>
      </c>
      <c r="F56" s="31">
        <v>11.666666666666666</v>
      </c>
      <c r="G56" s="31">
        <v>11.316666666666666</v>
      </c>
      <c r="H56" s="31">
        <v>9.8833333333333329</v>
      </c>
      <c r="I56" s="31">
        <v>0</v>
      </c>
      <c r="J56" s="31">
        <v>-0.48780000000000001</v>
      </c>
      <c r="K56" s="31">
        <v>0</v>
      </c>
      <c r="L56" s="31">
        <f>ABS([1]!Table3[[#This Row],[P1_AVG (W)]])</f>
        <v>1800</v>
      </c>
      <c r="M56" s="31">
        <f>ABS([1]!Table3[[#This Row],[P2_AVG (W)]])</f>
        <v>733.33333333333337</v>
      </c>
      <c r="N56" s="31">
        <f>ABS([1]!Table3[[#This Row],[P3_AVG (W)]])</f>
        <v>250</v>
      </c>
      <c r="O56" s="38">
        <f>SUM([1]!Table3[[#This Row],[P1_AVG (W)2]:[P3_AVG (W)2]])</f>
        <v>2783.3333333333335</v>
      </c>
    </row>
    <row r="57" spans="1:15" x14ac:dyDescent="0.3">
      <c r="A57" s="32">
        <v>46210</v>
      </c>
      <c r="B57" s="33">
        <v>0.625</v>
      </c>
      <c r="C57" s="34">
        <v>228</v>
      </c>
      <c r="D57" s="34">
        <v>226</v>
      </c>
      <c r="E57" s="34">
        <v>228</v>
      </c>
      <c r="F57" s="35">
        <v>9.2333333333333325</v>
      </c>
      <c r="G57" s="35">
        <v>9.4333333333333336</v>
      </c>
      <c r="H57" s="35">
        <v>7.2333333333333334</v>
      </c>
      <c r="I57" s="35">
        <v>0</v>
      </c>
      <c r="J57" s="35">
        <v>-0.53290000000000004</v>
      </c>
      <c r="K57" s="35">
        <v>0</v>
      </c>
      <c r="L57" s="35">
        <f>ABS([1]!Table3[[#This Row],[P1_AVG (W)]])</f>
        <v>1516.6666666666699</v>
      </c>
      <c r="M57" s="35">
        <f>ABS([1]!Table3[[#This Row],[P2_AVG (W)]])</f>
        <v>733.33333333333337</v>
      </c>
      <c r="N57" s="35">
        <f>ABS([1]!Table3[[#This Row],[P3_AVG (W)]])</f>
        <v>250</v>
      </c>
      <c r="O57" s="39">
        <f>SUM([1]!Table3[[#This Row],[P1_AVG (W)2]:[P3_AVG (W)2]])</f>
        <v>2500.0000000000032</v>
      </c>
    </row>
    <row r="58" spans="1:15" x14ac:dyDescent="0.3">
      <c r="A58" s="28">
        <v>46210</v>
      </c>
      <c r="B58" s="29">
        <v>0.63541666666666663</v>
      </c>
      <c r="C58" s="30">
        <v>228</v>
      </c>
      <c r="D58" s="30">
        <v>226</v>
      </c>
      <c r="E58" s="30">
        <v>228</v>
      </c>
      <c r="F58" s="31">
        <v>8.9666666666666668</v>
      </c>
      <c r="G58" s="31">
        <v>8.9833333333333325</v>
      </c>
      <c r="H58" s="31">
        <v>5.7833333333333332</v>
      </c>
      <c r="I58" s="31">
        <v>0</v>
      </c>
      <c r="J58" s="31">
        <v>-0.4884</v>
      </c>
      <c r="K58" s="31">
        <v>0</v>
      </c>
      <c r="L58" s="31">
        <f>ABS([1]!Table3[[#This Row],[P1_AVG (W)]])</f>
        <v>1616.6666666666699</v>
      </c>
      <c r="M58" s="31">
        <f>ABS([1]!Table3[[#This Row],[P2_AVG (W)]])</f>
        <v>616.66666666666663</v>
      </c>
      <c r="N58" s="31">
        <f>ABS([1]!Table3[[#This Row],[P3_AVG (W)]])</f>
        <v>133.33333333333334</v>
      </c>
      <c r="O58" s="38">
        <f>SUM([1]!Table3[[#This Row],[P1_AVG (W)2]:[P3_AVG (W)2]])</f>
        <v>2366.6666666666702</v>
      </c>
    </row>
    <row r="59" spans="1:15" x14ac:dyDescent="0.3">
      <c r="A59" s="32">
        <v>46210</v>
      </c>
      <c r="B59" s="33">
        <v>0.64583333333333337</v>
      </c>
      <c r="C59" s="34">
        <v>228</v>
      </c>
      <c r="D59" s="34">
        <v>226</v>
      </c>
      <c r="E59" s="34">
        <v>227</v>
      </c>
      <c r="F59" s="35">
        <v>12.216666666666667</v>
      </c>
      <c r="G59" s="35">
        <v>11.316666666666666</v>
      </c>
      <c r="H59" s="35">
        <v>4.95</v>
      </c>
      <c r="I59" s="35">
        <v>0.99050000000000005</v>
      </c>
      <c r="J59" s="35">
        <v>-0.20949999999999999</v>
      </c>
      <c r="K59" s="35">
        <v>0</v>
      </c>
      <c r="L59" s="35">
        <f>ABS([1]!Table3[[#This Row],[P1_AVG (W)]])</f>
        <v>2550</v>
      </c>
      <c r="M59" s="35">
        <f>ABS([1]!Table3[[#This Row],[P2_AVG (W)]])</f>
        <v>133.33333333333334</v>
      </c>
      <c r="N59" s="35">
        <f>ABS([1]!Table3[[#This Row],[P3_AVG (W)]])</f>
        <v>333.33333333333331</v>
      </c>
      <c r="O59" s="39">
        <f>SUM([1]!Table3[[#This Row],[P1_AVG (W)2]:[P3_AVG (W)2]])</f>
        <v>3016.666666666667</v>
      </c>
    </row>
    <row r="60" spans="1:15" x14ac:dyDescent="0.3">
      <c r="A60" s="28">
        <v>46210</v>
      </c>
      <c r="B60" s="29">
        <v>0.65625</v>
      </c>
      <c r="C60" s="30">
        <v>229</v>
      </c>
      <c r="D60" s="30">
        <v>227</v>
      </c>
      <c r="E60" s="30">
        <v>229</v>
      </c>
      <c r="F60" s="31">
        <v>12.05</v>
      </c>
      <c r="G60" s="31">
        <v>10.466666666666667</v>
      </c>
      <c r="H60" s="31">
        <v>2.75</v>
      </c>
      <c r="I60" s="31">
        <v>0.99509999999999998</v>
      </c>
      <c r="J60" s="31">
        <v>-8.9700000000000002E-2</v>
      </c>
      <c r="K60" s="31">
        <v>0</v>
      </c>
      <c r="L60" s="31">
        <f>ABS([1]!Table3[[#This Row],[P1_AVG (W)]])</f>
        <v>2650</v>
      </c>
      <c r="M60" s="31">
        <f>ABS([1]!Table3[[#This Row],[P2_AVG (W)]])</f>
        <v>133.33333333333334</v>
      </c>
      <c r="N60" s="31">
        <f>ABS([1]!Table3[[#This Row],[P3_AVG (W)]])</f>
        <v>216.66666666666666</v>
      </c>
      <c r="O60" s="38">
        <f>SUM([1]!Table3[[#This Row],[P1_AVG (W)2]:[P3_AVG (W)2]])</f>
        <v>3000</v>
      </c>
    </row>
    <row r="61" spans="1:15" x14ac:dyDescent="0.3">
      <c r="A61" s="32">
        <v>46210</v>
      </c>
      <c r="B61" s="33">
        <v>0.66666666666666663</v>
      </c>
      <c r="C61" s="34">
        <v>229</v>
      </c>
      <c r="D61" s="34">
        <v>227</v>
      </c>
      <c r="E61" s="34">
        <v>228</v>
      </c>
      <c r="F61" s="35">
        <v>12.716666666666667</v>
      </c>
      <c r="G61" s="35">
        <v>12.183333333333334</v>
      </c>
      <c r="H61" s="35">
        <v>4.0333333333333332</v>
      </c>
      <c r="I61" s="35">
        <v>0.99299999999999999</v>
      </c>
      <c r="J61" s="35">
        <v>-4.0000000000000001E-3</v>
      </c>
      <c r="K61" s="35">
        <v>0</v>
      </c>
      <c r="L61" s="35">
        <f>ABS([1]!Table3[[#This Row],[P1_AVG (W)]])</f>
        <v>2866.6666666666702</v>
      </c>
      <c r="M61" s="35">
        <f>ABS([1]!Table3[[#This Row],[P2_AVG (W)]])</f>
        <v>16.666666666666668</v>
      </c>
      <c r="N61" s="35">
        <f>ABS([1]!Table3[[#This Row],[P3_AVG (W)]])</f>
        <v>533.33333333333337</v>
      </c>
      <c r="O61" s="39">
        <f>SUM([1]!Table3[[#This Row],[P1_AVG (W)2]:[P3_AVG (W)2]])</f>
        <v>3416.6666666666702</v>
      </c>
    </row>
    <row r="62" spans="1:15" x14ac:dyDescent="0.3">
      <c r="A62" s="28">
        <v>46210</v>
      </c>
      <c r="B62" s="29">
        <v>0.67708333333333337</v>
      </c>
      <c r="C62" s="30">
        <v>228</v>
      </c>
      <c r="D62" s="30">
        <v>226</v>
      </c>
      <c r="E62" s="30">
        <v>228</v>
      </c>
      <c r="F62" s="31">
        <v>13.366666666666667</v>
      </c>
      <c r="G62" s="31">
        <v>14.016666666666667</v>
      </c>
      <c r="H62" s="31">
        <v>6.3833333333333337</v>
      </c>
      <c r="I62" s="31">
        <v>-0.99109999999999998</v>
      </c>
      <c r="J62" s="31">
        <v>-6.0900000000000003E-2</v>
      </c>
      <c r="K62" s="31">
        <v>0.58030000000000004</v>
      </c>
      <c r="L62" s="31">
        <f>ABS([1]!Table3[[#This Row],[P1_AVG (W)]])</f>
        <v>2933.3333333333298</v>
      </c>
      <c r="M62" s="31">
        <f>ABS([1]!Table3[[#This Row],[P2_AVG (W)]])</f>
        <v>216.66666666666666</v>
      </c>
      <c r="N62" s="31">
        <f>ABS([1]!Table3[[#This Row],[P3_AVG (W)]])</f>
        <v>816.66666666666663</v>
      </c>
      <c r="O62" s="38">
        <f>SUM([1]!Table3[[#This Row],[P1_AVG (W)2]:[P3_AVG (W)2]])</f>
        <v>3966.6666666666629</v>
      </c>
    </row>
    <row r="63" spans="1:15" x14ac:dyDescent="0.3">
      <c r="A63" s="32">
        <v>46210</v>
      </c>
      <c r="B63" s="33">
        <v>0.6875</v>
      </c>
      <c r="C63" s="34">
        <v>227</v>
      </c>
      <c r="D63" s="34">
        <v>226</v>
      </c>
      <c r="E63" s="34">
        <v>227</v>
      </c>
      <c r="F63" s="35">
        <v>17.716666666666665</v>
      </c>
      <c r="G63" s="35">
        <v>16.033333333333335</v>
      </c>
      <c r="H63" s="35">
        <v>5.2</v>
      </c>
      <c r="I63" s="35">
        <v>-0.98419999999999996</v>
      </c>
      <c r="J63" s="35">
        <v>-0.158</v>
      </c>
      <c r="K63" s="35">
        <v>0.61419999999999997</v>
      </c>
      <c r="L63" s="35">
        <f>ABS([1]!Table3[[#This Row],[P1_AVG (W)]])</f>
        <v>3950</v>
      </c>
      <c r="M63" s="35">
        <f>ABS([1]!Table3[[#This Row],[P2_AVG (W)]])</f>
        <v>566.66666666666663</v>
      </c>
      <c r="N63" s="35">
        <f>ABS([1]!Table3[[#This Row],[P3_AVG (W)]])</f>
        <v>716.66666666666663</v>
      </c>
      <c r="O63" s="39">
        <f>SUM([1]!Table3[[#This Row],[P1_AVG (W)2]:[P3_AVG (W)2]])</f>
        <v>5233.3333333333339</v>
      </c>
    </row>
    <row r="64" spans="1:15" x14ac:dyDescent="0.3">
      <c r="A64" s="28">
        <v>46210</v>
      </c>
      <c r="B64" s="29">
        <v>0.69791666666666663</v>
      </c>
      <c r="C64" s="30">
        <v>228</v>
      </c>
      <c r="D64" s="30">
        <v>226</v>
      </c>
      <c r="E64" s="30">
        <v>227</v>
      </c>
      <c r="F64" s="31">
        <v>13.85</v>
      </c>
      <c r="G64" s="31">
        <v>17.100000000000001</v>
      </c>
      <c r="H64" s="31">
        <v>6.65</v>
      </c>
      <c r="I64" s="31">
        <v>-0.95569999999999999</v>
      </c>
      <c r="J64" s="31">
        <v>-0.18279999999999999</v>
      </c>
      <c r="K64" s="31">
        <v>0.56040000000000001</v>
      </c>
      <c r="L64" s="31">
        <f>ABS([1]!Table3[[#This Row],[P1_AVG (W)]])</f>
        <v>2800</v>
      </c>
      <c r="M64" s="31">
        <f>ABS([1]!Table3[[#This Row],[P2_AVG (W)]])</f>
        <v>716.66666666666663</v>
      </c>
      <c r="N64" s="31">
        <f>ABS([1]!Table3[[#This Row],[P3_AVG (W)]])</f>
        <v>833.33333333333337</v>
      </c>
      <c r="O64" s="38">
        <f>SUM([1]!Table3[[#This Row],[P1_AVG (W)2]:[P3_AVG (W)2]])</f>
        <v>4350</v>
      </c>
    </row>
    <row r="65" spans="1:15" x14ac:dyDescent="0.3">
      <c r="A65" s="32">
        <v>46210</v>
      </c>
      <c r="B65" s="33">
        <v>0.70833333333333337</v>
      </c>
      <c r="C65" s="34">
        <v>227</v>
      </c>
      <c r="D65" s="34">
        <v>226</v>
      </c>
      <c r="E65" s="34">
        <v>227</v>
      </c>
      <c r="F65" s="35">
        <v>13.083333333333334</v>
      </c>
      <c r="G65" s="35">
        <v>17.783333333333335</v>
      </c>
      <c r="H65" s="35">
        <v>7.7333333333333334</v>
      </c>
      <c r="I65" s="35">
        <v>-0.93500000000000005</v>
      </c>
      <c r="J65" s="35">
        <v>-0.1963</v>
      </c>
      <c r="K65" s="35">
        <v>0.54579999999999995</v>
      </c>
      <c r="L65" s="35">
        <f>ABS([1]!Table3[[#This Row],[P1_AVG (W)]])</f>
        <v>2733.3333333333298</v>
      </c>
      <c r="M65" s="35">
        <f>ABS([1]!Table3[[#This Row],[P2_AVG (W)]])</f>
        <v>783.33333333333337</v>
      </c>
      <c r="N65" s="35">
        <f>ABS([1]!Table3[[#This Row],[P3_AVG (W)]])</f>
        <v>950</v>
      </c>
      <c r="O65" s="39">
        <f>SUM([1]!Table3[[#This Row],[P1_AVG (W)2]:[P3_AVG (W)2]])</f>
        <v>4466.6666666666633</v>
      </c>
    </row>
    <row r="66" spans="1:15" x14ac:dyDescent="0.3">
      <c r="A66" s="28">
        <v>46210</v>
      </c>
      <c r="B66" s="29">
        <v>0.71875</v>
      </c>
      <c r="C66" s="30">
        <v>232</v>
      </c>
      <c r="D66" s="30">
        <v>230</v>
      </c>
      <c r="E66" s="30">
        <v>232</v>
      </c>
      <c r="F66" s="31">
        <v>11.516666666666667</v>
      </c>
      <c r="G66" s="31">
        <v>18.316666666666666</v>
      </c>
      <c r="H66" s="31">
        <v>8.4333333333333336</v>
      </c>
      <c r="I66" s="31">
        <v>-0.94430000000000003</v>
      </c>
      <c r="J66" s="31">
        <v>-0.2072</v>
      </c>
      <c r="K66" s="31">
        <v>0.55030000000000001</v>
      </c>
      <c r="L66" s="31">
        <f>ABS([1]!Table3[[#This Row],[P1_AVG (W)]])</f>
        <v>2516.6666666666702</v>
      </c>
      <c r="M66" s="31">
        <f>ABS([1]!Table3[[#This Row],[P2_AVG (W)]])</f>
        <v>883.33333333333337</v>
      </c>
      <c r="N66" s="31">
        <f>ABS([1]!Table3[[#This Row],[P3_AVG (W)]])</f>
        <v>1066.6666666666667</v>
      </c>
      <c r="O66" s="38">
        <f>SUM([1]!Table3[[#This Row],[P1_AVG (W)2]:[P3_AVG (W)2]])</f>
        <v>4466.6666666666706</v>
      </c>
    </row>
    <row r="67" spans="1:15" x14ac:dyDescent="0.3">
      <c r="A67" s="32">
        <v>46210</v>
      </c>
      <c r="B67" s="33">
        <v>0.72916666666666663</v>
      </c>
      <c r="C67" s="34">
        <v>232</v>
      </c>
      <c r="D67" s="34">
        <v>230</v>
      </c>
      <c r="E67" s="34">
        <v>231</v>
      </c>
      <c r="F67" s="35">
        <v>12.3</v>
      </c>
      <c r="G67" s="35">
        <v>19.45</v>
      </c>
      <c r="H67" s="35">
        <v>9.6833333333333336</v>
      </c>
      <c r="I67" s="35">
        <v>-0.95709999999999995</v>
      </c>
      <c r="J67" s="35">
        <v>-0.22509999999999999</v>
      </c>
      <c r="K67" s="35">
        <v>0.54530000000000001</v>
      </c>
      <c r="L67" s="35">
        <f>ABS([1]!Table3[[#This Row],[P1_AVG (W)]])</f>
        <v>2700</v>
      </c>
      <c r="M67" s="35">
        <f>ABS([1]!Table3[[#This Row],[P2_AVG (W)]])</f>
        <v>1000</v>
      </c>
      <c r="N67" s="35">
        <f>ABS([1]!Table3[[#This Row],[P3_AVG (W)]])</f>
        <v>1216.6666666666667</v>
      </c>
      <c r="O67" s="39">
        <f>SUM([1]!Table3[[#This Row],[P1_AVG (W)2]:[P3_AVG (W)2]])</f>
        <v>4916.666666666667</v>
      </c>
    </row>
    <row r="68" spans="1:15" x14ac:dyDescent="0.3">
      <c r="A68" s="28">
        <v>46210</v>
      </c>
      <c r="B68" s="29">
        <v>0.73958333333333337</v>
      </c>
      <c r="C68" s="30">
        <v>231</v>
      </c>
      <c r="D68" s="30">
        <v>229</v>
      </c>
      <c r="E68" s="30">
        <v>230</v>
      </c>
      <c r="F68" s="31">
        <v>10.766666666666667</v>
      </c>
      <c r="G68" s="31">
        <v>12.05</v>
      </c>
      <c r="H68" s="31">
        <v>9.4833333333333325</v>
      </c>
      <c r="I68" s="31">
        <v>-0.96050000000000002</v>
      </c>
      <c r="J68" s="31">
        <v>-0.3513</v>
      </c>
      <c r="K68" s="31">
        <v>0.56769999999999998</v>
      </c>
      <c r="L68" s="31">
        <f>ABS([1]!Table3[[#This Row],[P1_AVG (W)]])</f>
        <v>2383.3333333333298</v>
      </c>
      <c r="M68" s="31">
        <f>ABS([1]!Table3[[#This Row],[P2_AVG (W)]])</f>
        <v>750</v>
      </c>
      <c r="N68" s="31">
        <f>ABS([1]!Table3[[#This Row],[P3_AVG (W)]])</f>
        <v>1233.3333333333333</v>
      </c>
      <c r="O68" s="38">
        <f>SUM([1]!Table3[[#This Row],[P1_AVG (W)2]:[P3_AVG (W)2]])</f>
        <v>4366.6666666666633</v>
      </c>
    </row>
    <row r="69" spans="1:15" x14ac:dyDescent="0.3">
      <c r="A69" s="32">
        <v>46210</v>
      </c>
      <c r="B69" s="33">
        <v>0.75</v>
      </c>
      <c r="C69" s="34">
        <v>230</v>
      </c>
      <c r="D69" s="34">
        <v>228</v>
      </c>
      <c r="E69" s="34">
        <v>229</v>
      </c>
      <c r="F69" s="35">
        <v>11.516666666666667</v>
      </c>
      <c r="G69" s="35">
        <v>7.4666666666666668</v>
      </c>
      <c r="H69" s="35">
        <v>9.9333333333333336</v>
      </c>
      <c r="I69" s="35">
        <v>-0.96130000000000004</v>
      </c>
      <c r="J69" s="35">
        <v>-0.41420000000000001</v>
      </c>
      <c r="K69" s="35">
        <v>0.5373</v>
      </c>
      <c r="L69" s="35">
        <f>ABS([1]!Table3[[#This Row],[P1_AVG (W)]])</f>
        <v>2516.6666666666702</v>
      </c>
      <c r="M69" s="35">
        <f>ABS([1]!Table3[[#This Row],[P2_AVG (W)]])</f>
        <v>700</v>
      </c>
      <c r="N69" s="35">
        <f>ABS([1]!Table3[[#This Row],[P3_AVG (W)]])</f>
        <v>1216.6666666666667</v>
      </c>
      <c r="O69" s="39">
        <f>SUM([1]!Table3[[#This Row],[P1_AVG (W)2]:[P3_AVG (W)2]])</f>
        <v>4433.3333333333367</v>
      </c>
    </row>
    <row r="70" spans="1:15" x14ac:dyDescent="0.3">
      <c r="A70" s="28">
        <v>46210</v>
      </c>
      <c r="B70" s="29">
        <v>0.76041666666666663</v>
      </c>
      <c r="C70" s="30">
        <v>230</v>
      </c>
      <c r="D70" s="30">
        <v>228</v>
      </c>
      <c r="E70" s="30">
        <v>230</v>
      </c>
      <c r="F70" s="31">
        <v>12.016666666666667</v>
      </c>
      <c r="G70" s="31">
        <v>8.6999999999999993</v>
      </c>
      <c r="H70" s="31">
        <v>11.383333333333333</v>
      </c>
      <c r="I70" s="31">
        <v>-0.9657</v>
      </c>
      <c r="J70" s="31">
        <v>-0.42870000000000003</v>
      </c>
      <c r="K70" s="31">
        <v>0.53590000000000004</v>
      </c>
      <c r="L70" s="31">
        <f>ABS([1]!Table3[[#This Row],[P1_AVG (W)]])</f>
        <v>2666.6666666666702</v>
      </c>
      <c r="M70" s="31">
        <f>ABS([1]!Table3[[#This Row],[P2_AVG (W)]])</f>
        <v>850</v>
      </c>
      <c r="N70" s="31">
        <f>ABS([1]!Table3[[#This Row],[P3_AVG (W)]])</f>
        <v>1400</v>
      </c>
      <c r="O70" s="38">
        <f>SUM([1]!Table3[[#This Row],[P1_AVG (W)2]:[P3_AVG (W)2]])</f>
        <v>4916.6666666666697</v>
      </c>
    </row>
    <row r="71" spans="1:15" x14ac:dyDescent="0.3">
      <c r="A71" s="32">
        <v>46210</v>
      </c>
      <c r="B71" s="33">
        <v>0.77083333333333337</v>
      </c>
      <c r="C71" s="34">
        <v>228</v>
      </c>
      <c r="D71" s="34">
        <v>226</v>
      </c>
      <c r="E71" s="34">
        <v>227</v>
      </c>
      <c r="F71" s="35">
        <v>13.6</v>
      </c>
      <c r="G71" s="35">
        <v>10</v>
      </c>
      <c r="H71" s="35">
        <v>12.783333333333333</v>
      </c>
      <c r="I71" s="35">
        <v>-0.97629999999999995</v>
      </c>
      <c r="J71" s="35">
        <v>-0.42530000000000001</v>
      </c>
      <c r="K71" s="35">
        <v>0.5504</v>
      </c>
      <c r="L71" s="35">
        <f>ABS([1]!Table3[[#This Row],[P1_AVG (W)]])</f>
        <v>3000</v>
      </c>
      <c r="M71" s="35">
        <f>ABS([1]!Table3[[#This Row],[P2_AVG (W)]])</f>
        <v>966.66666666666663</v>
      </c>
      <c r="N71" s="35">
        <f>ABS([1]!Table3[[#This Row],[P3_AVG (W)]])</f>
        <v>1600</v>
      </c>
      <c r="O71" s="39">
        <f>SUM([1]!Table3[[#This Row],[P1_AVG (W)2]:[P3_AVG (W)2]])</f>
        <v>5566.6666666666661</v>
      </c>
    </row>
    <row r="72" spans="1:15" x14ac:dyDescent="0.3">
      <c r="A72" s="28">
        <v>46210</v>
      </c>
      <c r="B72" s="29">
        <v>0.78125</v>
      </c>
      <c r="C72" s="30">
        <v>226</v>
      </c>
      <c r="D72" s="30">
        <v>224</v>
      </c>
      <c r="E72" s="30">
        <v>225</v>
      </c>
      <c r="F72" s="31">
        <v>13.016666666666667</v>
      </c>
      <c r="G72" s="31">
        <v>10.050000000000001</v>
      </c>
      <c r="H72" s="31">
        <v>12.9</v>
      </c>
      <c r="I72" s="31">
        <v>-0.9819</v>
      </c>
      <c r="J72" s="31">
        <v>-0.39190000000000003</v>
      </c>
      <c r="K72" s="31">
        <v>0.57240000000000002</v>
      </c>
      <c r="L72" s="31">
        <f>ABS([1]!Table3[[#This Row],[P1_AVG (W)]])</f>
        <v>2883.3333333333298</v>
      </c>
      <c r="M72" s="31">
        <f>ABS([1]!Table3[[#This Row],[P2_AVG (W)]])</f>
        <v>883.33333333333337</v>
      </c>
      <c r="N72" s="31">
        <f>ABS([1]!Table3[[#This Row],[P3_AVG (W)]])</f>
        <v>1666.6666666666667</v>
      </c>
      <c r="O72" s="38">
        <f>SUM([1]!Table3[[#This Row],[P1_AVG (W)2]:[P3_AVG (W)2]])</f>
        <v>5433.3333333333303</v>
      </c>
    </row>
    <row r="73" spans="1:15" x14ac:dyDescent="0.3">
      <c r="A73" s="32">
        <v>46210</v>
      </c>
      <c r="B73" s="33">
        <v>0.79166666666666663</v>
      </c>
      <c r="C73" s="34">
        <v>226</v>
      </c>
      <c r="D73" s="34">
        <v>224</v>
      </c>
      <c r="E73" s="34">
        <v>225</v>
      </c>
      <c r="F73" s="35">
        <v>12.983333333333333</v>
      </c>
      <c r="G73" s="35">
        <v>10.016666666666667</v>
      </c>
      <c r="H73" s="35">
        <v>12.733333333333333</v>
      </c>
      <c r="I73" s="35">
        <v>-0.98199999999999998</v>
      </c>
      <c r="J73" s="35">
        <v>-0.40360000000000001</v>
      </c>
      <c r="K73" s="35">
        <v>0.57289999999999996</v>
      </c>
      <c r="L73" s="35">
        <f>ABS([1]!Table3[[#This Row],[P1_AVG (W)]])</f>
        <v>2883.3333333333298</v>
      </c>
      <c r="M73" s="35">
        <f>ABS([1]!Table3[[#This Row],[P2_AVG (W)]])</f>
        <v>900</v>
      </c>
      <c r="N73" s="35">
        <f>ABS([1]!Table3[[#This Row],[P3_AVG (W)]])</f>
        <v>1650</v>
      </c>
      <c r="O73" s="39">
        <f>SUM([1]!Table3[[#This Row],[P1_AVG (W)2]:[P3_AVG (W)2]])</f>
        <v>5433.3333333333303</v>
      </c>
    </row>
    <row r="74" spans="1:15" x14ac:dyDescent="0.3">
      <c r="A74" s="28">
        <v>46210</v>
      </c>
      <c r="B74" s="29">
        <v>0.80208333333333337</v>
      </c>
      <c r="C74" s="30">
        <v>227</v>
      </c>
      <c r="D74" s="30">
        <v>225</v>
      </c>
      <c r="E74" s="30">
        <v>226</v>
      </c>
      <c r="F74" s="31">
        <v>12.966666666666667</v>
      </c>
      <c r="G74" s="31">
        <v>10.1</v>
      </c>
      <c r="H74" s="31">
        <v>12.55</v>
      </c>
      <c r="I74" s="31">
        <v>-0.98170000000000002</v>
      </c>
      <c r="J74" s="31">
        <v>-0.40350000000000003</v>
      </c>
      <c r="K74" s="31">
        <v>0.57150000000000001</v>
      </c>
      <c r="L74" s="31">
        <f>ABS([1]!Table3[[#This Row],[P1_AVG (W)]])</f>
        <v>2883.3333333333298</v>
      </c>
      <c r="M74" s="31">
        <f>ABS([1]!Table3[[#This Row],[P2_AVG (W)]])</f>
        <v>916.66666666666663</v>
      </c>
      <c r="N74" s="31">
        <f>ABS([1]!Table3[[#This Row],[P3_AVG (W)]])</f>
        <v>1616.6666666666667</v>
      </c>
      <c r="O74" s="38">
        <f>SUM([1]!Table3[[#This Row],[P1_AVG (W)2]:[P3_AVG (W)2]])</f>
        <v>5416.6666666666633</v>
      </c>
    </row>
    <row r="75" spans="1:15" x14ac:dyDescent="0.3">
      <c r="A75" s="32">
        <v>46210</v>
      </c>
      <c r="B75" s="33">
        <v>0.8125</v>
      </c>
      <c r="C75" s="34">
        <v>227</v>
      </c>
      <c r="D75" s="34">
        <v>225</v>
      </c>
      <c r="E75" s="34">
        <v>226</v>
      </c>
      <c r="F75" s="35">
        <v>12.55</v>
      </c>
      <c r="G75" s="35">
        <v>10.433333333333334</v>
      </c>
      <c r="H75" s="35">
        <v>12.583333333333334</v>
      </c>
      <c r="I75" s="35">
        <v>-0.98029999999999995</v>
      </c>
      <c r="J75" s="35">
        <v>-0.40600000000000003</v>
      </c>
      <c r="K75" s="35">
        <v>0.5665</v>
      </c>
      <c r="L75" s="35">
        <f>ABS([1]!Table3[[#This Row],[P1_AVG (W)]])</f>
        <v>2783.3333333333298</v>
      </c>
      <c r="M75" s="35">
        <f>ABS([1]!Table3[[#This Row],[P2_AVG (W)]])</f>
        <v>950</v>
      </c>
      <c r="N75" s="35">
        <f>ABS([1]!Table3[[#This Row],[P3_AVG (W)]])</f>
        <v>1616.6666666666667</v>
      </c>
      <c r="O75" s="39">
        <f>SUM([1]!Table3[[#This Row],[P1_AVG (W)2]:[P3_AVG (W)2]])</f>
        <v>5349.9999999999964</v>
      </c>
    </row>
    <row r="76" spans="1:15" x14ac:dyDescent="0.3">
      <c r="A76" s="28">
        <v>46210</v>
      </c>
      <c r="B76" s="29">
        <v>0.82291666666666663</v>
      </c>
      <c r="C76" s="30">
        <v>229</v>
      </c>
      <c r="D76" s="30">
        <v>227</v>
      </c>
      <c r="E76" s="30">
        <v>229</v>
      </c>
      <c r="F76" s="31">
        <v>12.85</v>
      </c>
      <c r="G76" s="31">
        <v>10.716666666666667</v>
      </c>
      <c r="H76" s="31">
        <v>13.016666666666667</v>
      </c>
      <c r="I76" s="31">
        <v>-0.98050000000000004</v>
      </c>
      <c r="J76" s="31">
        <v>-0.40770000000000001</v>
      </c>
      <c r="K76" s="31">
        <v>0.56759999999999999</v>
      </c>
      <c r="L76" s="31">
        <f>ABS([1]!Table3[[#This Row],[P1_AVG (W)]])</f>
        <v>2883.3333333333298</v>
      </c>
      <c r="M76" s="31">
        <f>ABS([1]!Table3[[#This Row],[P2_AVG (W)]])</f>
        <v>1000</v>
      </c>
      <c r="N76" s="31">
        <f>ABS([1]!Table3[[#This Row],[P3_AVG (W)]])</f>
        <v>1683.3333333333333</v>
      </c>
      <c r="O76" s="38">
        <f>SUM([1]!Table3[[#This Row],[P1_AVG (W)2]:[P3_AVG (W)2]])</f>
        <v>5566.6666666666633</v>
      </c>
    </row>
    <row r="77" spans="1:15" x14ac:dyDescent="0.3">
      <c r="A77" s="32">
        <v>46210</v>
      </c>
      <c r="B77" s="33">
        <v>0.83333333333333337</v>
      </c>
      <c r="C77" s="34">
        <v>230</v>
      </c>
      <c r="D77" s="34">
        <v>228</v>
      </c>
      <c r="E77" s="34">
        <v>229</v>
      </c>
      <c r="F77" s="35">
        <v>12.466666666666667</v>
      </c>
      <c r="G77" s="35">
        <v>10.4</v>
      </c>
      <c r="H77" s="35">
        <v>12.616666666666667</v>
      </c>
      <c r="I77" s="35">
        <v>-0.97909999999999997</v>
      </c>
      <c r="J77" s="35">
        <v>-0.40279999999999999</v>
      </c>
      <c r="K77" s="35">
        <v>0.57130000000000003</v>
      </c>
      <c r="L77" s="35">
        <f>ABS([1]!Table3[[#This Row],[P1_AVG (W)]])</f>
        <v>2800</v>
      </c>
      <c r="M77" s="35">
        <f>ABS([1]!Table3[[#This Row],[P2_AVG (W)]])</f>
        <v>950</v>
      </c>
      <c r="N77" s="35">
        <f>ABS([1]!Table3[[#This Row],[P3_AVG (W)]])</f>
        <v>1650</v>
      </c>
      <c r="O77" s="39">
        <f>SUM([1]!Table3[[#This Row],[P1_AVG (W)2]:[P3_AVG (W)2]])</f>
        <v>5400</v>
      </c>
    </row>
    <row r="78" spans="1:15" x14ac:dyDescent="0.3">
      <c r="A78" s="28">
        <v>46210</v>
      </c>
      <c r="B78" s="29">
        <v>0.84375</v>
      </c>
      <c r="C78" s="30">
        <v>232</v>
      </c>
      <c r="D78" s="30">
        <v>230</v>
      </c>
      <c r="E78" s="30">
        <v>231</v>
      </c>
      <c r="F78" s="31">
        <v>12.516666666666667</v>
      </c>
      <c r="G78" s="31">
        <v>10.4</v>
      </c>
      <c r="H78" s="31">
        <v>12.733333333333333</v>
      </c>
      <c r="I78" s="31">
        <v>-0.97860000000000003</v>
      </c>
      <c r="J78" s="31">
        <v>-0.40129999999999999</v>
      </c>
      <c r="K78" s="31">
        <v>0.5716</v>
      </c>
      <c r="L78" s="31">
        <f>ABS([1]!Table3[[#This Row],[P1_AVG (W)]])</f>
        <v>2850</v>
      </c>
      <c r="M78" s="31">
        <f>ABS([1]!Table3[[#This Row],[P2_AVG (W)]])</f>
        <v>966.66666666666663</v>
      </c>
      <c r="N78" s="31">
        <f>ABS([1]!Table3[[#This Row],[P3_AVG (W)]])</f>
        <v>1683.3333333333333</v>
      </c>
      <c r="O78" s="38">
        <f>SUM([1]!Table3[[#This Row],[P1_AVG (W)2]:[P3_AVG (W)2]])</f>
        <v>5500</v>
      </c>
    </row>
    <row r="79" spans="1:15" x14ac:dyDescent="0.3">
      <c r="A79" s="32">
        <v>46210</v>
      </c>
      <c r="B79" s="33">
        <v>0.85416666666666663</v>
      </c>
      <c r="C79" s="34">
        <v>234</v>
      </c>
      <c r="D79" s="34">
        <v>232</v>
      </c>
      <c r="E79" s="34">
        <v>233</v>
      </c>
      <c r="F79" s="35">
        <v>12.45</v>
      </c>
      <c r="G79" s="35">
        <v>10.35</v>
      </c>
      <c r="H79" s="35">
        <v>12.816666666666666</v>
      </c>
      <c r="I79" s="35">
        <v>-0.97789999999999999</v>
      </c>
      <c r="J79" s="35">
        <v>-0.39910000000000001</v>
      </c>
      <c r="K79" s="35">
        <v>0.57169999999999999</v>
      </c>
      <c r="L79" s="35">
        <f>ABS([1]!Table3[[#This Row],[P1_AVG (W)]])</f>
        <v>2850</v>
      </c>
      <c r="M79" s="35">
        <f>ABS([1]!Table3[[#This Row],[P2_AVG (W)]])</f>
        <v>950</v>
      </c>
      <c r="N79" s="35">
        <f>ABS([1]!Table3[[#This Row],[P3_AVG (W)]])</f>
        <v>1700</v>
      </c>
      <c r="O79" s="39">
        <f>SUM([1]!Table3[[#This Row],[P1_AVG (W)2]:[P3_AVG (W)2]])</f>
        <v>5500</v>
      </c>
    </row>
    <row r="80" spans="1:15" x14ac:dyDescent="0.3">
      <c r="A80" s="28">
        <v>46210</v>
      </c>
      <c r="B80" s="29">
        <v>0.86458333333333337</v>
      </c>
      <c r="C80" s="30">
        <v>233</v>
      </c>
      <c r="D80" s="30">
        <v>230</v>
      </c>
      <c r="E80" s="30">
        <v>232</v>
      </c>
      <c r="F80" s="31">
        <v>12.316666666666666</v>
      </c>
      <c r="G80" s="31">
        <v>10.266666666666667</v>
      </c>
      <c r="H80" s="31">
        <v>13</v>
      </c>
      <c r="I80" s="31">
        <v>-0.97819999999999996</v>
      </c>
      <c r="J80" s="31">
        <v>-0.40029999999999999</v>
      </c>
      <c r="K80" s="31">
        <v>0.57450000000000001</v>
      </c>
      <c r="L80" s="31">
        <f>ABS([1]!Table3[[#This Row],[P1_AVG (W)]])</f>
        <v>2800</v>
      </c>
      <c r="M80" s="31">
        <f>ABS([1]!Table3[[#This Row],[P2_AVG (W)]])</f>
        <v>950</v>
      </c>
      <c r="N80" s="31">
        <f>ABS([1]!Table3[[#This Row],[P3_AVG (W)]])</f>
        <v>1733.3333333333333</v>
      </c>
      <c r="O80" s="38">
        <f>SUM([1]!Table3[[#This Row],[P1_AVG (W)2]:[P3_AVG (W)2]])</f>
        <v>5483.333333333333</v>
      </c>
    </row>
    <row r="81" spans="1:15" x14ac:dyDescent="0.3">
      <c r="A81" s="32">
        <v>46210</v>
      </c>
      <c r="B81" s="33">
        <v>0.875</v>
      </c>
      <c r="C81" s="34">
        <v>235</v>
      </c>
      <c r="D81" s="34">
        <v>233</v>
      </c>
      <c r="E81" s="34">
        <v>234</v>
      </c>
      <c r="F81" s="35">
        <v>12.266666666666667</v>
      </c>
      <c r="G81" s="35">
        <v>10.25</v>
      </c>
      <c r="H81" s="35">
        <v>12.85</v>
      </c>
      <c r="I81" s="35">
        <v>-0.97650000000000003</v>
      </c>
      <c r="J81" s="35">
        <v>-0.3982</v>
      </c>
      <c r="K81" s="35">
        <v>0.57479999999999998</v>
      </c>
      <c r="L81" s="35">
        <f>ABS([1]!Table3[[#This Row],[P1_AVG (W)]])</f>
        <v>2816.6666666666702</v>
      </c>
      <c r="M81" s="35">
        <f>ABS([1]!Table3[[#This Row],[P2_AVG (W)]])</f>
        <v>950</v>
      </c>
      <c r="N81" s="35">
        <f>ABS([1]!Table3[[#This Row],[P3_AVG (W)]])</f>
        <v>1733.3333333333333</v>
      </c>
      <c r="O81" s="39">
        <f>SUM([1]!Table3[[#This Row],[P1_AVG (W)2]:[P3_AVG (W)2]])</f>
        <v>5500.0000000000036</v>
      </c>
    </row>
    <row r="82" spans="1:15" x14ac:dyDescent="0.3">
      <c r="A82" s="28">
        <v>46210</v>
      </c>
      <c r="B82" s="29">
        <v>0.88541666666666663</v>
      </c>
      <c r="C82" s="30">
        <v>234</v>
      </c>
      <c r="D82" s="30">
        <v>232</v>
      </c>
      <c r="E82" s="30">
        <v>233</v>
      </c>
      <c r="F82" s="31">
        <v>12.45</v>
      </c>
      <c r="G82" s="31">
        <v>10.433333333333334</v>
      </c>
      <c r="H82" s="31">
        <v>12.8</v>
      </c>
      <c r="I82" s="31">
        <v>-0.97740000000000005</v>
      </c>
      <c r="J82" s="31">
        <v>-0.39979999999999999</v>
      </c>
      <c r="K82" s="31">
        <v>0.56850000000000001</v>
      </c>
      <c r="L82" s="31">
        <f>ABS([1]!Table3[[#This Row],[P1_AVG (W)]])</f>
        <v>2850</v>
      </c>
      <c r="M82" s="31">
        <f>ABS([1]!Table3[[#This Row],[P2_AVG (W)]])</f>
        <v>966.66666666666663</v>
      </c>
      <c r="N82" s="31">
        <f>ABS([1]!Table3[[#This Row],[P3_AVG (W)]])</f>
        <v>1700</v>
      </c>
      <c r="O82" s="38">
        <f>SUM([1]!Table3[[#This Row],[P1_AVG (W)2]:[P3_AVG (W)2]])</f>
        <v>5516.6666666666661</v>
      </c>
    </row>
    <row r="83" spans="1:15" x14ac:dyDescent="0.3">
      <c r="A83" s="32">
        <v>46210</v>
      </c>
      <c r="B83" s="33">
        <v>0.89583333333333337</v>
      </c>
      <c r="C83" s="34">
        <v>234</v>
      </c>
      <c r="D83" s="34">
        <v>231</v>
      </c>
      <c r="E83" s="34">
        <v>232</v>
      </c>
      <c r="F83" s="35">
        <v>12.5</v>
      </c>
      <c r="G83" s="35">
        <v>10.483333333333333</v>
      </c>
      <c r="H83" s="35">
        <v>12.7</v>
      </c>
      <c r="I83" s="35">
        <v>-0.9778</v>
      </c>
      <c r="J83" s="35">
        <v>-0.4012</v>
      </c>
      <c r="K83" s="35">
        <v>0.56540000000000001</v>
      </c>
      <c r="L83" s="35">
        <f>ABS([1]!Table3[[#This Row],[P1_AVG (W)]])</f>
        <v>2850</v>
      </c>
      <c r="M83" s="35">
        <f>ABS([1]!Table3[[#This Row],[P2_AVG (W)]])</f>
        <v>966.66666666666663</v>
      </c>
      <c r="N83" s="35">
        <f>ABS([1]!Table3[[#This Row],[P3_AVG (W)]])</f>
        <v>1666.6666666666667</v>
      </c>
      <c r="O83" s="39">
        <f>SUM([1]!Table3[[#This Row],[P1_AVG (W)2]:[P3_AVG (W)2]])</f>
        <v>5483.333333333333</v>
      </c>
    </row>
    <row r="84" spans="1:15" x14ac:dyDescent="0.3">
      <c r="A84" s="28">
        <v>46210</v>
      </c>
      <c r="B84" s="29">
        <v>0.90625</v>
      </c>
      <c r="C84" s="30">
        <v>235</v>
      </c>
      <c r="D84" s="30">
        <v>232</v>
      </c>
      <c r="E84" s="30">
        <v>233</v>
      </c>
      <c r="F84" s="31">
        <v>12.583333333333334</v>
      </c>
      <c r="G84" s="31">
        <v>10.55</v>
      </c>
      <c r="H84" s="31">
        <v>13.05</v>
      </c>
      <c r="I84" s="31">
        <v>-0.97799999999999998</v>
      </c>
      <c r="J84" s="31">
        <v>-0.4007</v>
      </c>
      <c r="K84" s="31">
        <v>0.55720000000000003</v>
      </c>
      <c r="L84" s="31">
        <f>ABS([1]!Table3[[#This Row],[P1_AVG (W)]])</f>
        <v>2883.3333333333298</v>
      </c>
      <c r="M84" s="31">
        <f>ABS([1]!Table3[[#This Row],[P2_AVG (W)]])</f>
        <v>983.33333333333337</v>
      </c>
      <c r="N84" s="31">
        <f>ABS([1]!Table3[[#This Row],[P3_AVG (W)]])</f>
        <v>1683.3333333333333</v>
      </c>
      <c r="O84" s="38">
        <f>SUM([1]!Table3[[#This Row],[P1_AVG (W)2]:[P3_AVG (W)2]])</f>
        <v>5549.9999999999964</v>
      </c>
    </row>
    <row r="85" spans="1:15" x14ac:dyDescent="0.3">
      <c r="A85" s="32">
        <v>46210</v>
      </c>
      <c r="B85" s="33">
        <v>0.91666666666666663</v>
      </c>
      <c r="C85" s="34">
        <v>235</v>
      </c>
      <c r="D85" s="34">
        <v>233</v>
      </c>
      <c r="E85" s="34">
        <v>234</v>
      </c>
      <c r="F85" s="35">
        <v>12.533333333333333</v>
      </c>
      <c r="G85" s="35">
        <v>9.9833333333333325</v>
      </c>
      <c r="H85" s="35">
        <v>13.4</v>
      </c>
      <c r="I85" s="35">
        <v>-0.97750000000000004</v>
      </c>
      <c r="J85" s="35">
        <v>-0.39090000000000003</v>
      </c>
      <c r="K85" s="35">
        <v>0.55510000000000004</v>
      </c>
      <c r="L85" s="35">
        <f>ABS([1]!Table3[[#This Row],[P1_AVG (W)]])</f>
        <v>2883.3333333333298</v>
      </c>
      <c r="M85" s="35">
        <f>ABS([1]!Table3[[#This Row],[P2_AVG (W)]])</f>
        <v>900</v>
      </c>
      <c r="N85" s="35">
        <f>ABS([1]!Table3[[#This Row],[P3_AVG (W)]])</f>
        <v>1733.3333333333333</v>
      </c>
      <c r="O85" s="39">
        <f>SUM([1]!Table3[[#This Row],[P1_AVG (W)2]:[P3_AVG (W)2]])</f>
        <v>5516.6666666666633</v>
      </c>
    </row>
    <row r="86" spans="1:15" x14ac:dyDescent="0.3">
      <c r="A86" s="28">
        <v>46210</v>
      </c>
      <c r="B86" s="29">
        <v>0.92708333333333337</v>
      </c>
      <c r="C86" s="30">
        <v>234</v>
      </c>
      <c r="D86" s="30">
        <v>231</v>
      </c>
      <c r="E86" s="30">
        <v>232</v>
      </c>
      <c r="F86" s="31">
        <v>12.116666666666667</v>
      </c>
      <c r="G86" s="31">
        <v>10.066666666666666</v>
      </c>
      <c r="H86" s="31">
        <v>13.55</v>
      </c>
      <c r="I86" s="31">
        <v>-0.97670000000000001</v>
      </c>
      <c r="J86" s="31">
        <v>-0.39379999999999998</v>
      </c>
      <c r="K86" s="31">
        <v>0.55600000000000005</v>
      </c>
      <c r="L86" s="31">
        <f>ABS([1]!Table3[[#This Row],[P1_AVG (W)]])</f>
        <v>2766.6666666666702</v>
      </c>
      <c r="M86" s="31">
        <f>ABS([1]!Table3[[#This Row],[P2_AVG (W)]])</f>
        <v>916.66666666666663</v>
      </c>
      <c r="N86" s="31">
        <f>ABS([1]!Table3[[#This Row],[P3_AVG (W)]])</f>
        <v>1750</v>
      </c>
      <c r="O86" s="38">
        <f>SUM([1]!Table3[[#This Row],[P1_AVG (W)2]:[P3_AVG (W)2]])</f>
        <v>5433.3333333333367</v>
      </c>
    </row>
    <row r="87" spans="1:15" x14ac:dyDescent="0.3">
      <c r="A87" s="32">
        <v>46210</v>
      </c>
      <c r="B87" s="33">
        <v>0.9375</v>
      </c>
      <c r="C87" s="34">
        <v>235</v>
      </c>
      <c r="D87" s="34">
        <v>232</v>
      </c>
      <c r="E87" s="34">
        <v>233</v>
      </c>
      <c r="F87" s="35">
        <v>12.233333333333333</v>
      </c>
      <c r="G87" s="35">
        <v>10</v>
      </c>
      <c r="H87" s="35">
        <v>13.433333333333334</v>
      </c>
      <c r="I87" s="35">
        <v>-0.97640000000000005</v>
      </c>
      <c r="J87" s="35">
        <v>-0.39439999999999997</v>
      </c>
      <c r="K87" s="35">
        <v>0.55459999999999998</v>
      </c>
      <c r="L87" s="35">
        <f>ABS([1]!Table3[[#This Row],[P1_AVG (W)]])</f>
        <v>2800</v>
      </c>
      <c r="M87" s="35">
        <f>ABS([1]!Table3[[#This Row],[P2_AVG (W)]])</f>
        <v>916.66666666666663</v>
      </c>
      <c r="N87" s="35">
        <f>ABS([1]!Table3[[#This Row],[P3_AVG (W)]])</f>
        <v>1733.3333333333333</v>
      </c>
      <c r="O87" s="39">
        <f>SUM([1]!Table3[[#This Row],[P1_AVG (W)2]:[P3_AVG (W)2]])</f>
        <v>5450</v>
      </c>
    </row>
    <row r="88" spans="1:15" x14ac:dyDescent="0.3">
      <c r="A88" s="28">
        <v>46210</v>
      </c>
      <c r="B88" s="29">
        <v>0.94791666666666663</v>
      </c>
      <c r="C88" s="30">
        <v>233</v>
      </c>
      <c r="D88" s="30">
        <v>231</v>
      </c>
      <c r="E88" s="30">
        <v>232</v>
      </c>
      <c r="F88" s="31">
        <v>12.616666666666667</v>
      </c>
      <c r="G88" s="31">
        <v>10.266666666666667</v>
      </c>
      <c r="H88" s="31">
        <v>12.683333333333334</v>
      </c>
      <c r="I88" s="31">
        <v>-0.97819999999999996</v>
      </c>
      <c r="J88" s="31">
        <v>-0.4002</v>
      </c>
      <c r="K88" s="31">
        <v>0.55959999999999999</v>
      </c>
      <c r="L88" s="31">
        <f>ABS([1]!Table3[[#This Row],[P1_AVG (W)]])</f>
        <v>2883.3333333333298</v>
      </c>
      <c r="M88" s="31">
        <f>ABS([1]!Table3[[#This Row],[P2_AVG (W)]])</f>
        <v>950</v>
      </c>
      <c r="N88" s="31">
        <f>ABS([1]!Table3[[#This Row],[P3_AVG (W)]])</f>
        <v>1633.3333333333333</v>
      </c>
      <c r="O88" s="38">
        <f>SUM([1]!Table3[[#This Row],[P1_AVG (W)2]:[P3_AVG (W)2]])</f>
        <v>5466.6666666666633</v>
      </c>
    </row>
    <row r="89" spans="1:15" x14ac:dyDescent="0.3">
      <c r="A89" s="32">
        <v>46210</v>
      </c>
      <c r="B89" s="33">
        <v>0.95833333333333337</v>
      </c>
      <c r="C89" s="34">
        <v>234</v>
      </c>
      <c r="D89" s="34">
        <v>232</v>
      </c>
      <c r="E89" s="34">
        <v>233</v>
      </c>
      <c r="F89" s="35">
        <v>12.216666666666667</v>
      </c>
      <c r="G89" s="35">
        <v>10.316666666666666</v>
      </c>
      <c r="H89" s="35">
        <v>11.933333333333334</v>
      </c>
      <c r="I89" s="35">
        <v>-0.97640000000000005</v>
      </c>
      <c r="J89" s="35">
        <v>-0.40029999999999999</v>
      </c>
      <c r="K89" s="35">
        <v>0.56169999999999998</v>
      </c>
      <c r="L89" s="35">
        <f>ABS([1]!Table3[[#This Row],[P1_AVG (W)]])</f>
        <v>2800</v>
      </c>
      <c r="M89" s="35">
        <f>ABS([1]!Table3[[#This Row],[P2_AVG (W)]])</f>
        <v>950</v>
      </c>
      <c r="N89" s="35">
        <f>ABS([1]!Table3[[#This Row],[P3_AVG (W)]])</f>
        <v>1566.6666666666667</v>
      </c>
      <c r="O89" s="39">
        <f>SUM([1]!Table3[[#This Row],[P1_AVG (W)2]:[P3_AVG (W)2]])</f>
        <v>5316.666666666667</v>
      </c>
    </row>
    <row r="90" spans="1:15" x14ac:dyDescent="0.3">
      <c r="A90" s="28">
        <v>46210</v>
      </c>
      <c r="B90" s="29">
        <v>0.96875</v>
      </c>
      <c r="C90" s="30">
        <v>235</v>
      </c>
      <c r="D90" s="30">
        <v>233</v>
      </c>
      <c r="E90" s="30">
        <v>234</v>
      </c>
      <c r="F90" s="31">
        <v>12.116666666666667</v>
      </c>
      <c r="G90" s="31">
        <v>10.183333333333334</v>
      </c>
      <c r="H90" s="31">
        <v>11.7</v>
      </c>
      <c r="I90" s="31">
        <v>-0.97619999999999996</v>
      </c>
      <c r="J90" s="31">
        <v>-0.39950000000000002</v>
      </c>
      <c r="K90" s="31">
        <v>0.55779999999999996</v>
      </c>
      <c r="L90" s="31">
        <f>ABS([1]!Table3[[#This Row],[P1_AVG (W)]])</f>
        <v>2783.3333333333298</v>
      </c>
      <c r="M90" s="31">
        <f>ABS([1]!Table3[[#This Row],[P2_AVG (W)]])</f>
        <v>950</v>
      </c>
      <c r="N90" s="31">
        <f>ABS([1]!Table3[[#This Row],[P3_AVG (W)]])</f>
        <v>1516.6666666666667</v>
      </c>
      <c r="O90" s="38">
        <f>SUM([1]!Table3[[#This Row],[P1_AVG (W)2]:[P3_AVG (W)2]])</f>
        <v>5249.9999999999964</v>
      </c>
    </row>
    <row r="91" spans="1:15" x14ac:dyDescent="0.3">
      <c r="A91" s="32">
        <v>46210</v>
      </c>
      <c r="B91" s="33">
        <v>0.97916666666666663</v>
      </c>
      <c r="C91" s="34">
        <v>234</v>
      </c>
      <c r="D91" s="34">
        <v>232</v>
      </c>
      <c r="E91" s="34">
        <v>233</v>
      </c>
      <c r="F91" s="35">
        <v>12.416666666666666</v>
      </c>
      <c r="G91" s="35">
        <v>10.483333333333333</v>
      </c>
      <c r="H91" s="35">
        <v>12.2</v>
      </c>
      <c r="I91" s="35">
        <v>-0.97750000000000004</v>
      </c>
      <c r="J91" s="35">
        <v>-0.40250000000000002</v>
      </c>
      <c r="K91" s="35">
        <v>0.55789999999999995</v>
      </c>
      <c r="L91" s="35">
        <f>ABS([1]!Table3[[#This Row],[P1_AVG (W)]])</f>
        <v>2833.3333333333298</v>
      </c>
      <c r="M91" s="35">
        <f>ABS([1]!Table3[[#This Row],[P2_AVG (W)]])</f>
        <v>983.33333333333337</v>
      </c>
      <c r="N91" s="35">
        <f>ABS([1]!Table3[[#This Row],[P3_AVG (W)]])</f>
        <v>1583.3333333333333</v>
      </c>
      <c r="O91" s="39">
        <f>SUM([1]!Table3[[#This Row],[P1_AVG (W)2]:[P3_AVG (W)2]])</f>
        <v>5399.9999999999964</v>
      </c>
    </row>
    <row r="92" spans="1:15" x14ac:dyDescent="0.3">
      <c r="A92" s="28">
        <v>46210</v>
      </c>
      <c r="B92" s="29">
        <v>0.98958333333333337</v>
      </c>
      <c r="C92" s="30">
        <v>235</v>
      </c>
      <c r="D92" s="30">
        <v>232</v>
      </c>
      <c r="E92" s="30">
        <v>233</v>
      </c>
      <c r="F92" s="31">
        <v>12.133333333333333</v>
      </c>
      <c r="G92" s="31">
        <v>10.183333333333334</v>
      </c>
      <c r="H92" s="31">
        <v>12.233333333333333</v>
      </c>
      <c r="I92" s="31">
        <v>-0.9758</v>
      </c>
      <c r="J92" s="31">
        <v>-0.39710000000000001</v>
      </c>
      <c r="K92" s="31">
        <v>0.5615</v>
      </c>
      <c r="L92" s="31">
        <f>ABS([1]!Table3[[#This Row],[P1_AVG (W)]])</f>
        <v>2783.3333333333298</v>
      </c>
      <c r="M92" s="31">
        <f>ABS([1]!Table3[[#This Row],[P2_AVG (W)]])</f>
        <v>933.33333333333337</v>
      </c>
      <c r="N92" s="31">
        <f>ABS([1]!Table3[[#This Row],[P3_AVG (W)]])</f>
        <v>1600</v>
      </c>
      <c r="O92" s="38">
        <f>SUM([1]!Table3[[#This Row],[P1_AVG (W)2]:[P3_AVG (W)2]])</f>
        <v>5316.6666666666633</v>
      </c>
    </row>
    <row r="93" spans="1:15" x14ac:dyDescent="0.3">
      <c r="A93" s="32">
        <v>46241</v>
      </c>
      <c r="B93" s="33">
        <v>0</v>
      </c>
      <c r="C93" s="34">
        <v>235</v>
      </c>
      <c r="D93" s="34">
        <v>233</v>
      </c>
      <c r="E93" s="34">
        <v>234</v>
      </c>
      <c r="F93" s="35">
        <v>12.066666666666666</v>
      </c>
      <c r="G93" s="35">
        <v>10.116666666666667</v>
      </c>
      <c r="H93" s="35">
        <v>12.1</v>
      </c>
      <c r="I93" s="35">
        <v>-0.97499999999999998</v>
      </c>
      <c r="J93" s="35">
        <v>-0.39610000000000001</v>
      </c>
      <c r="K93" s="35">
        <v>0.56299999999999994</v>
      </c>
      <c r="L93" s="35">
        <f>ABS([1]!Table3[[#This Row],[P1_AVG (W)]])</f>
        <v>2766.6666666666702</v>
      </c>
      <c r="M93" s="35">
        <f>ABS([1]!Table3[[#This Row],[P2_AVG (W)]])</f>
        <v>933.33333333333337</v>
      </c>
      <c r="N93" s="35">
        <f>ABS([1]!Table3[[#This Row],[P3_AVG (W)]])</f>
        <v>1600</v>
      </c>
      <c r="O93" s="39">
        <f>SUM([1]!Table3[[#This Row],[P1_AVG (W)2]:[P3_AVG (W)2]])</f>
        <v>5300.0000000000036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73EC-8E84-42A6-ABA9-E6ACE02D2A6D}">
  <dimension ref="A1:I100"/>
  <sheetViews>
    <sheetView workbookViewId="0">
      <selection activeCell="E4" sqref="E4"/>
    </sheetView>
  </sheetViews>
  <sheetFormatPr defaultRowHeight="14.4" x14ac:dyDescent="0.3"/>
  <sheetData>
    <row r="1" spans="1:9" ht="17.399999999999999" x14ac:dyDescent="0.3">
      <c r="A1" s="106" t="s">
        <v>170</v>
      </c>
      <c r="B1" s="106"/>
      <c r="C1" s="106"/>
      <c r="D1" s="106"/>
      <c r="E1" s="106"/>
      <c r="F1" s="106"/>
      <c r="G1" s="106"/>
      <c r="H1" s="106"/>
      <c r="I1" s="106"/>
    </row>
    <row r="2" spans="1:9" x14ac:dyDescent="0.3">
      <c r="A2" s="107" t="s">
        <v>171</v>
      </c>
      <c r="B2" s="107"/>
      <c r="C2" s="107"/>
      <c r="D2" s="107"/>
      <c r="E2" s="107"/>
      <c r="F2" s="107"/>
      <c r="G2" s="107"/>
      <c r="H2" s="107"/>
      <c r="I2" s="107"/>
    </row>
    <row r="3" spans="1:9" ht="15" thickBot="1" x14ac:dyDescent="0.35">
      <c r="A3" s="108" t="s">
        <v>172</v>
      </c>
      <c r="B3" s="108"/>
      <c r="C3" s="108"/>
      <c r="D3" s="108"/>
      <c r="E3" s="108"/>
      <c r="F3" s="108"/>
      <c r="G3" s="108"/>
      <c r="H3" s="108"/>
      <c r="I3" s="108"/>
    </row>
    <row r="4" spans="1:9" ht="15" thickBot="1" x14ac:dyDescent="0.35">
      <c r="A4" s="51" t="s">
        <v>18</v>
      </c>
      <c r="B4" s="51" t="s">
        <v>1</v>
      </c>
      <c r="C4" s="51" t="s">
        <v>173</v>
      </c>
      <c r="D4" s="51" t="s">
        <v>174</v>
      </c>
      <c r="E4" s="51" t="s">
        <v>175</v>
      </c>
      <c r="F4" s="51" t="s">
        <v>20</v>
      </c>
      <c r="G4" s="51" t="s">
        <v>21</v>
      </c>
      <c r="H4" s="51" t="s">
        <v>22</v>
      </c>
      <c r="I4" s="51" t="s">
        <v>23</v>
      </c>
    </row>
    <row r="5" spans="1:9" x14ac:dyDescent="0.3">
      <c r="A5" s="52">
        <v>0</v>
      </c>
      <c r="B5" s="53" t="s">
        <v>24</v>
      </c>
      <c r="C5" s="52" t="s">
        <v>176</v>
      </c>
      <c r="D5" s="52">
        <v>1.6</v>
      </c>
      <c r="E5" s="54">
        <v>4.4000000000000004</v>
      </c>
      <c r="F5" s="55">
        <v>6.2199999999999998E-2</v>
      </c>
      <c r="G5" s="52">
        <v>2.4950000000000001</v>
      </c>
      <c r="H5" s="56" t="s">
        <v>177</v>
      </c>
      <c r="I5" s="57"/>
    </row>
    <row r="6" spans="1:9" x14ac:dyDescent="0.3">
      <c r="A6" s="58">
        <v>1</v>
      </c>
      <c r="B6" s="59" t="s">
        <v>27</v>
      </c>
      <c r="C6" s="58">
        <v>3.1</v>
      </c>
      <c r="D6" s="58">
        <v>1.6</v>
      </c>
      <c r="E6" s="60">
        <v>4.7</v>
      </c>
      <c r="F6" s="61">
        <v>6.6500000000000004E-2</v>
      </c>
      <c r="G6" s="58">
        <v>2.665</v>
      </c>
      <c r="H6" s="62" t="s">
        <v>178</v>
      </c>
      <c r="I6" s="63" t="s">
        <v>179</v>
      </c>
    </row>
    <row r="7" spans="1:9" x14ac:dyDescent="0.3">
      <c r="A7" s="58">
        <v>2</v>
      </c>
      <c r="B7" s="59" t="s">
        <v>28</v>
      </c>
      <c r="C7" s="58">
        <v>3.02</v>
      </c>
      <c r="D7" s="58">
        <v>1.6279999999999999</v>
      </c>
      <c r="E7" s="60">
        <v>4.6479999999999997</v>
      </c>
      <c r="F7" s="61">
        <v>6.5799999999999997E-2</v>
      </c>
      <c r="G7" s="58">
        <v>2.6360000000000001</v>
      </c>
      <c r="H7" s="62" t="s">
        <v>178</v>
      </c>
      <c r="I7" s="63"/>
    </row>
    <row r="8" spans="1:9" x14ac:dyDescent="0.3">
      <c r="A8" s="58">
        <v>3</v>
      </c>
      <c r="B8" s="59" t="s">
        <v>29</v>
      </c>
      <c r="C8" s="58">
        <v>3.08</v>
      </c>
      <c r="D8" s="58">
        <v>1.6559999999999999</v>
      </c>
      <c r="E8" s="60">
        <v>4.7359999999999998</v>
      </c>
      <c r="F8" s="61">
        <v>6.7000000000000004E-2</v>
      </c>
      <c r="G8" s="58">
        <v>2.6850000000000001</v>
      </c>
      <c r="H8" s="62" t="s">
        <v>178</v>
      </c>
      <c r="I8" s="63"/>
    </row>
    <row r="9" spans="1:9" x14ac:dyDescent="0.3">
      <c r="A9" s="58">
        <v>4</v>
      </c>
      <c r="B9" s="59" t="s">
        <v>30</v>
      </c>
      <c r="C9" s="58">
        <v>3.1</v>
      </c>
      <c r="D9" s="58">
        <v>1.6839999999999999</v>
      </c>
      <c r="E9" s="60">
        <v>4.7839999999999998</v>
      </c>
      <c r="F9" s="61">
        <v>6.7699999999999996E-2</v>
      </c>
      <c r="G9" s="58">
        <v>2.7130000000000001</v>
      </c>
      <c r="H9" s="62" t="s">
        <v>178</v>
      </c>
      <c r="I9" s="63"/>
    </row>
    <row r="10" spans="1:9" x14ac:dyDescent="0.3">
      <c r="A10" s="58">
        <v>5</v>
      </c>
      <c r="B10" s="59" t="s">
        <v>31</v>
      </c>
      <c r="C10" s="58">
        <v>2.82</v>
      </c>
      <c r="D10" s="58">
        <v>1.712</v>
      </c>
      <c r="E10" s="60">
        <v>4.532</v>
      </c>
      <c r="F10" s="61">
        <v>6.4100000000000004E-2</v>
      </c>
      <c r="G10" s="58">
        <v>2.57</v>
      </c>
      <c r="H10" s="62" t="s">
        <v>178</v>
      </c>
      <c r="I10" s="63"/>
    </row>
    <row r="11" spans="1:9" x14ac:dyDescent="0.3">
      <c r="A11" s="58">
        <v>6</v>
      </c>
      <c r="B11" s="59" t="s">
        <v>32</v>
      </c>
      <c r="C11" s="58">
        <v>2.19</v>
      </c>
      <c r="D11" s="58">
        <v>1.7390000000000001</v>
      </c>
      <c r="E11" s="60">
        <v>3.9289999999999998</v>
      </c>
      <c r="F11" s="61">
        <v>5.5599999999999997E-2</v>
      </c>
      <c r="G11" s="58">
        <v>2.2280000000000002</v>
      </c>
      <c r="H11" s="62" t="s">
        <v>178</v>
      </c>
      <c r="I11" s="63"/>
    </row>
    <row r="12" spans="1:9" x14ac:dyDescent="0.3">
      <c r="A12" s="58">
        <v>7</v>
      </c>
      <c r="B12" s="59" t="s">
        <v>33</v>
      </c>
      <c r="C12" s="58">
        <v>2.64</v>
      </c>
      <c r="D12" s="58">
        <v>1.7669999999999999</v>
      </c>
      <c r="E12" s="60">
        <v>4.407</v>
      </c>
      <c r="F12" s="61">
        <v>6.2300000000000001E-2</v>
      </c>
      <c r="G12" s="58">
        <v>2.4990000000000001</v>
      </c>
      <c r="H12" s="62" t="s">
        <v>178</v>
      </c>
      <c r="I12" s="63"/>
    </row>
    <row r="13" spans="1:9" x14ac:dyDescent="0.3">
      <c r="A13" s="58">
        <v>8</v>
      </c>
      <c r="B13" s="59" t="s">
        <v>34</v>
      </c>
      <c r="C13" s="58">
        <v>3.12</v>
      </c>
      <c r="D13" s="58">
        <v>1.794</v>
      </c>
      <c r="E13" s="60">
        <v>4.9139999999999997</v>
      </c>
      <c r="F13" s="61">
        <v>6.9500000000000006E-2</v>
      </c>
      <c r="G13" s="58">
        <v>2.786</v>
      </c>
      <c r="H13" s="62" t="s">
        <v>178</v>
      </c>
      <c r="I13" s="63"/>
    </row>
    <row r="14" spans="1:9" x14ac:dyDescent="0.3">
      <c r="A14" s="58">
        <v>9</v>
      </c>
      <c r="B14" s="59" t="s">
        <v>35</v>
      </c>
      <c r="C14" s="58">
        <v>3.13</v>
      </c>
      <c r="D14" s="58">
        <v>1.821</v>
      </c>
      <c r="E14" s="60">
        <v>4.9509999999999996</v>
      </c>
      <c r="F14" s="61">
        <v>7.0000000000000007E-2</v>
      </c>
      <c r="G14" s="58">
        <v>2.8069999999999999</v>
      </c>
      <c r="H14" s="62" t="s">
        <v>178</v>
      </c>
      <c r="I14" s="63"/>
    </row>
    <row r="15" spans="1:9" x14ac:dyDescent="0.3">
      <c r="A15" s="58">
        <v>10</v>
      </c>
      <c r="B15" s="59" t="s">
        <v>36</v>
      </c>
      <c r="C15" s="58">
        <v>3.12</v>
      </c>
      <c r="D15" s="58">
        <v>1.847</v>
      </c>
      <c r="E15" s="60">
        <v>4.9669999999999996</v>
      </c>
      <c r="F15" s="61">
        <v>7.0300000000000001E-2</v>
      </c>
      <c r="G15" s="58">
        <v>2.8159999999999998</v>
      </c>
      <c r="H15" s="62" t="s">
        <v>178</v>
      </c>
      <c r="I15" s="63"/>
    </row>
    <row r="16" spans="1:9" x14ac:dyDescent="0.3">
      <c r="A16" s="58">
        <v>11</v>
      </c>
      <c r="B16" s="59" t="s">
        <v>37</v>
      </c>
      <c r="C16" s="58">
        <v>2.29</v>
      </c>
      <c r="D16" s="58">
        <v>1.8740000000000001</v>
      </c>
      <c r="E16" s="60">
        <v>4.1639999999999997</v>
      </c>
      <c r="F16" s="61">
        <v>5.8900000000000001E-2</v>
      </c>
      <c r="G16" s="58">
        <v>2.3610000000000002</v>
      </c>
      <c r="H16" s="62" t="s">
        <v>178</v>
      </c>
      <c r="I16" s="63"/>
    </row>
    <row r="17" spans="1:9" x14ac:dyDescent="0.3">
      <c r="A17" s="58">
        <v>12</v>
      </c>
      <c r="B17" s="59" t="s">
        <v>38</v>
      </c>
      <c r="C17" s="58">
        <v>2.1800000000000002</v>
      </c>
      <c r="D17" s="58">
        <v>1.9</v>
      </c>
      <c r="E17" s="60">
        <v>4.08</v>
      </c>
      <c r="F17" s="61">
        <v>5.7700000000000001E-2</v>
      </c>
      <c r="G17" s="58">
        <v>2.3130000000000002</v>
      </c>
      <c r="H17" s="62" t="s">
        <v>178</v>
      </c>
      <c r="I17" s="63"/>
    </row>
    <row r="18" spans="1:9" x14ac:dyDescent="0.3">
      <c r="A18" s="58">
        <v>13</v>
      </c>
      <c r="B18" s="59" t="s">
        <v>39</v>
      </c>
      <c r="C18" s="58">
        <v>3.23</v>
      </c>
      <c r="D18" s="58">
        <v>1.925</v>
      </c>
      <c r="E18" s="60">
        <v>5.1550000000000002</v>
      </c>
      <c r="F18" s="61">
        <v>7.2900000000000006E-2</v>
      </c>
      <c r="G18" s="58">
        <v>2.923</v>
      </c>
      <c r="H18" s="62" t="s">
        <v>178</v>
      </c>
      <c r="I18" s="63"/>
    </row>
    <row r="19" spans="1:9" x14ac:dyDescent="0.3">
      <c r="A19" s="58">
        <v>14</v>
      </c>
      <c r="B19" s="59" t="s">
        <v>40</v>
      </c>
      <c r="C19" s="58">
        <v>3.02</v>
      </c>
      <c r="D19" s="58">
        <v>1.9470000000000001</v>
      </c>
      <c r="E19" s="60">
        <v>4.9669999999999996</v>
      </c>
      <c r="F19" s="61">
        <v>7.0300000000000001E-2</v>
      </c>
      <c r="G19" s="58">
        <v>2.8159999999999998</v>
      </c>
      <c r="H19" s="62" t="s">
        <v>178</v>
      </c>
      <c r="I19" s="63"/>
    </row>
    <row r="20" spans="1:9" x14ac:dyDescent="0.3">
      <c r="A20" s="58">
        <v>15</v>
      </c>
      <c r="B20" s="59" t="s">
        <v>41</v>
      </c>
      <c r="C20" s="58">
        <v>2.93</v>
      </c>
      <c r="D20" s="58">
        <v>1.968</v>
      </c>
      <c r="E20" s="60">
        <v>4.8979999999999997</v>
      </c>
      <c r="F20" s="61">
        <v>6.93E-2</v>
      </c>
      <c r="G20" s="58">
        <v>2.7770000000000001</v>
      </c>
      <c r="H20" s="62" t="s">
        <v>178</v>
      </c>
      <c r="I20" s="63"/>
    </row>
    <row r="21" spans="1:9" x14ac:dyDescent="0.3">
      <c r="A21" s="58">
        <v>16</v>
      </c>
      <c r="B21" s="59" t="s">
        <v>42</v>
      </c>
      <c r="C21" s="58">
        <v>3.04</v>
      </c>
      <c r="D21" s="58">
        <v>1.988</v>
      </c>
      <c r="E21" s="60">
        <v>5.0279999999999996</v>
      </c>
      <c r="F21" s="61">
        <v>7.1099999999999997E-2</v>
      </c>
      <c r="G21" s="58">
        <v>2.851</v>
      </c>
      <c r="H21" s="62" t="s">
        <v>178</v>
      </c>
      <c r="I21" s="63"/>
    </row>
    <row r="22" spans="1:9" x14ac:dyDescent="0.3">
      <c r="A22" s="58">
        <v>17</v>
      </c>
      <c r="B22" s="59" t="s">
        <v>43</v>
      </c>
      <c r="C22" s="58">
        <v>2.93</v>
      </c>
      <c r="D22" s="58">
        <v>2.0070000000000001</v>
      </c>
      <c r="E22" s="60">
        <v>4.9370000000000003</v>
      </c>
      <c r="F22" s="61">
        <v>6.9800000000000001E-2</v>
      </c>
      <c r="G22" s="58">
        <v>2.7989999999999999</v>
      </c>
      <c r="H22" s="62" t="s">
        <v>178</v>
      </c>
      <c r="I22" s="63"/>
    </row>
    <row r="23" spans="1:9" x14ac:dyDescent="0.3">
      <c r="A23" s="58">
        <v>18</v>
      </c>
      <c r="B23" s="59" t="s">
        <v>44</v>
      </c>
      <c r="C23" s="58">
        <v>1.8</v>
      </c>
      <c r="D23" s="58">
        <v>2.0270000000000001</v>
      </c>
      <c r="E23" s="60">
        <v>3.827</v>
      </c>
      <c r="F23" s="61">
        <v>5.4100000000000002E-2</v>
      </c>
      <c r="G23" s="58">
        <v>2.17</v>
      </c>
      <c r="H23" s="62" t="s">
        <v>178</v>
      </c>
      <c r="I23" s="63"/>
    </row>
    <row r="24" spans="1:9" x14ac:dyDescent="0.3">
      <c r="A24" s="58">
        <v>19</v>
      </c>
      <c r="B24" s="59" t="s">
        <v>45</v>
      </c>
      <c r="C24" s="58">
        <v>2.96</v>
      </c>
      <c r="D24" s="58">
        <v>2.0489999999999999</v>
      </c>
      <c r="E24" s="60">
        <v>5.0090000000000003</v>
      </c>
      <c r="F24" s="61">
        <v>7.0900000000000005E-2</v>
      </c>
      <c r="G24" s="58">
        <v>2.84</v>
      </c>
      <c r="H24" s="62" t="s">
        <v>178</v>
      </c>
      <c r="I24" s="63"/>
    </row>
    <row r="25" spans="1:9" x14ac:dyDescent="0.3">
      <c r="A25" s="58">
        <v>20</v>
      </c>
      <c r="B25" s="59" t="s">
        <v>46</v>
      </c>
      <c r="C25" s="58">
        <v>3.17</v>
      </c>
      <c r="D25" s="58">
        <v>2.0720000000000001</v>
      </c>
      <c r="E25" s="60">
        <v>5.242</v>
      </c>
      <c r="F25" s="61">
        <v>7.4200000000000002E-2</v>
      </c>
      <c r="G25" s="58">
        <v>2.972</v>
      </c>
      <c r="H25" s="62" t="s">
        <v>178</v>
      </c>
      <c r="I25" s="63"/>
    </row>
    <row r="26" spans="1:9" x14ac:dyDescent="0.3">
      <c r="A26" s="58">
        <v>21</v>
      </c>
      <c r="B26" s="59" t="s">
        <v>47</v>
      </c>
      <c r="C26" s="58">
        <v>3</v>
      </c>
      <c r="D26" s="58">
        <v>2.0979999999999999</v>
      </c>
      <c r="E26" s="60">
        <v>5.0979999999999999</v>
      </c>
      <c r="F26" s="61">
        <v>7.2099999999999997E-2</v>
      </c>
      <c r="G26" s="58">
        <v>2.891</v>
      </c>
      <c r="H26" s="62" t="s">
        <v>178</v>
      </c>
      <c r="I26" s="63"/>
    </row>
    <row r="27" spans="1:9" x14ac:dyDescent="0.3">
      <c r="A27" s="58">
        <v>22</v>
      </c>
      <c r="B27" s="59" t="s">
        <v>48</v>
      </c>
      <c r="C27" s="58">
        <v>2.11</v>
      </c>
      <c r="D27" s="58">
        <v>2.1280000000000001</v>
      </c>
      <c r="E27" s="60">
        <v>4.2380000000000004</v>
      </c>
      <c r="F27" s="61">
        <v>5.9900000000000002E-2</v>
      </c>
      <c r="G27" s="58">
        <v>2.403</v>
      </c>
      <c r="H27" s="62" t="s">
        <v>178</v>
      </c>
      <c r="I27" s="63"/>
    </row>
    <row r="28" spans="1:9" x14ac:dyDescent="0.3">
      <c r="A28" s="58">
        <v>23</v>
      </c>
      <c r="B28" s="59" t="s">
        <v>49</v>
      </c>
      <c r="C28" s="58">
        <v>2.48</v>
      </c>
      <c r="D28" s="58">
        <v>2.161</v>
      </c>
      <c r="E28" s="60">
        <v>4.641</v>
      </c>
      <c r="F28" s="61">
        <v>6.5699999999999995E-2</v>
      </c>
      <c r="G28" s="58">
        <v>2.6320000000000001</v>
      </c>
      <c r="H28" s="62" t="s">
        <v>178</v>
      </c>
      <c r="I28" s="63"/>
    </row>
    <row r="29" spans="1:9" x14ac:dyDescent="0.3">
      <c r="A29" s="58">
        <v>24</v>
      </c>
      <c r="B29" s="59" t="s">
        <v>50</v>
      </c>
      <c r="C29" s="58">
        <v>3.16</v>
      </c>
      <c r="D29" s="58">
        <v>2.2000000000000002</v>
      </c>
      <c r="E29" s="60">
        <v>5.36</v>
      </c>
      <c r="F29" s="61">
        <v>7.5800000000000006E-2</v>
      </c>
      <c r="G29" s="58">
        <v>3.0390000000000001</v>
      </c>
      <c r="H29" s="62" t="s">
        <v>178</v>
      </c>
      <c r="I29" s="63"/>
    </row>
    <row r="30" spans="1:9" x14ac:dyDescent="0.3">
      <c r="A30" s="58">
        <v>25</v>
      </c>
      <c r="B30" s="59" t="s">
        <v>51</v>
      </c>
      <c r="C30" s="58">
        <v>3.04</v>
      </c>
      <c r="D30" s="58">
        <v>2.2400000000000002</v>
      </c>
      <c r="E30" s="60">
        <v>5.28</v>
      </c>
      <c r="F30" s="61">
        <v>7.4700000000000003E-2</v>
      </c>
      <c r="G30" s="58">
        <v>2.9940000000000002</v>
      </c>
      <c r="H30" s="62" t="s">
        <v>178</v>
      </c>
      <c r="I30" s="63"/>
    </row>
    <row r="31" spans="1:9" x14ac:dyDescent="0.3">
      <c r="A31" s="58">
        <v>26</v>
      </c>
      <c r="B31" s="59" t="s">
        <v>52</v>
      </c>
      <c r="C31" s="58">
        <v>3.02</v>
      </c>
      <c r="D31" s="58">
        <v>2.282</v>
      </c>
      <c r="E31" s="60">
        <v>5.3019999999999996</v>
      </c>
      <c r="F31" s="61">
        <v>7.4999999999999997E-2</v>
      </c>
      <c r="G31" s="58">
        <v>3.0059999999999998</v>
      </c>
      <c r="H31" s="62" t="s">
        <v>178</v>
      </c>
      <c r="I31" s="63"/>
    </row>
    <row r="32" spans="1:9" x14ac:dyDescent="0.3">
      <c r="A32" s="58">
        <v>27</v>
      </c>
      <c r="B32" s="59" t="s">
        <v>53</v>
      </c>
      <c r="C32" s="58">
        <v>1.82</v>
      </c>
      <c r="D32" s="58">
        <v>2.331</v>
      </c>
      <c r="E32" s="60">
        <v>4.1509999999999998</v>
      </c>
      <c r="F32" s="61">
        <v>5.8700000000000002E-2</v>
      </c>
      <c r="G32" s="58">
        <v>2.3530000000000002</v>
      </c>
      <c r="H32" s="62" t="s">
        <v>178</v>
      </c>
      <c r="I32" s="63"/>
    </row>
    <row r="33" spans="1:9" x14ac:dyDescent="0.3">
      <c r="A33" s="58">
        <v>28</v>
      </c>
      <c r="B33" s="59" t="s">
        <v>54</v>
      </c>
      <c r="C33" s="58">
        <v>2.75</v>
      </c>
      <c r="D33" s="58">
        <v>2.391</v>
      </c>
      <c r="E33" s="60">
        <v>5.141</v>
      </c>
      <c r="F33" s="61">
        <v>7.2700000000000001E-2</v>
      </c>
      <c r="G33" s="58">
        <v>2.915</v>
      </c>
      <c r="H33" s="62" t="s">
        <v>178</v>
      </c>
      <c r="I33" s="63"/>
    </row>
    <row r="34" spans="1:9" x14ac:dyDescent="0.3">
      <c r="A34" s="58">
        <v>29</v>
      </c>
      <c r="B34" s="59" t="s">
        <v>55</v>
      </c>
      <c r="C34" s="58">
        <v>3.05</v>
      </c>
      <c r="D34" s="58">
        <v>2.468</v>
      </c>
      <c r="E34" s="60">
        <v>5.5179999999999998</v>
      </c>
      <c r="F34" s="61">
        <v>7.8100000000000003E-2</v>
      </c>
      <c r="G34" s="58">
        <v>3.1280000000000001</v>
      </c>
      <c r="H34" s="62" t="s">
        <v>178</v>
      </c>
      <c r="I34" s="63"/>
    </row>
    <row r="35" spans="1:9" x14ac:dyDescent="0.3">
      <c r="A35" s="58">
        <v>30</v>
      </c>
      <c r="B35" s="59" t="s">
        <v>56</v>
      </c>
      <c r="C35" s="58">
        <v>3.15</v>
      </c>
      <c r="D35" s="58">
        <v>2.5659999999999998</v>
      </c>
      <c r="E35" s="60">
        <v>5.7160000000000002</v>
      </c>
      <c r="F35" s="61">
        <v>8.09E-2</v>
      </c>
      <c r="G35" s="58">
        <v>3.2410000000000001</v>
      </c>
      <c r="H35" s="62" t="s">
        <v>178</v>
      </c>
      <c r="I35" s="63"/>
    </row>
    <row r="36" spans="1:9" x14ac:dyDescent="0.3">
      <c r="A36" s="58">
        <v>31</v>
      </c>
      <c r="B36" s="59" t="s">
        <v>57</v>
      </c>
      <c r="C36" s="58">
        <v>3.08</v>
      </c>
      <c r="D36" s="58">
        <v>2.6920000000000002</v>
      </c>
      <c r="E36" s="60">
        <v>5.7720000000000002</v>
      </c>
      <c r="F36" s="61">
        <v>8.1600000000000006E-2</v>
      </c>
      <c r="G36" s="58">
        <v>3.2730000000000001</v>
      </c>
      <c r="H36" s="62" t="s">
        <v>178</v>
      </c>
      <c r="I36" s="63"/>
    </row>
    <row r="37" spans="1:9" x14ac:dyDescent="0.3">
      <c r="A37" s="58">
        <v>32</v>
      </c>
      <c r="B37" s="59" t="s">
        <v>58</v>
      </c>
      <c r="C37" s="58">
        <v>1.56</v>
      </c>
      <c r="D37" s="58">
        <v>2.8490000000000002</v>
      </c>
      <c r="E37" s="60">
        <v>4.4089999999999998</v>
      </c>
      <c r="F37" s="61">
        <v>6.2399999999999997E-2</v>
      </c>
      <c r="G37" s="58">
        <v>2.5</v>
      </c>
      <c r="H37" s="62" t="s">
        <v>178</v>
      </c>
      <c r="I37" s="63" t="s">
        <v>180</v>
      </c>
    </row>
    <row r="38" spans="1:9" x14ac:dyDescent="0.3">
      <c r="A38" s="58">
        <v>33</v>
      </c>
      <c r="B38" s="59" t="s">
        <v>59</v>
      </c>
      <c r="C38" s="58">
        <v>2.028</v>
      </c>
      <c r="D38" s="58">
        <v>3.044</v>
      </c>
      <c r="E38" s="60">
        <v>5.0709999999999997</v>
      </c>
      <c r="F38" s="61">
        <v>7.17E-2</v>
      </c>
      <c r="G38" s="58">
        <v>2.875</v>
      </c>
      <c r="H38" s="62" t="s">
        <v>178</v>
      </c>
      <c r="I38" s="63"/>
    </row>
    <row r="39" spans="1:9" x14ac:dyDescent="0.3">
      <c r="A39" s="58">
        <v>34</v>
      </c>
      <c r="B39" s="59" t="s">
        <v>61</v>
      </c>
      <c r="C39" s="58">
        <v>3.3140000000000001</v>
      </c>
      <c r="D39" s="58">
        <v>3.28</v>
      </c>
      <c r="E39" s="60">
        <v>6.5940000000000003</v>
      </c>
      <c r="F39" s="61">
        <v>9.3299999999999994E-2</v>
      </c>
      <c r="G39" s="58">
        <v>3.7389999999999999</v>
      </c>
      <c r="H39" s="62" t="s">
        <v>178</v>
      </c>
      <c r="I39" s="63"/>
    </row>
    <row r="40" spans="1:9" x14ac:dyDescent="0.3">
      <c r="A40" s="58">
        <v>35</v>
      </c>
      <c r="B40" s="59" t="s">
        <v>64</v>
      </c>
      <c r="C40" s="58">
        <v>5.242</v>
      </c>
      <c r="D40" s="58">
        <v>10.734</v>
      </c>
      <c r="E40" s="60">
        <v>15.976000000000001</v>
      </c>
      <c r="F40" s="61">
        <v>0.22600000000000001</v>
      </c>
      <c r="G40" s="58">
        <v>9.0579999999999998</v>
      </c>
      <c r="H40" s="62" t="s">
        <v>178</v>
      </c>
      <c r="I40" s="63" t="s">
        <v>181</v>
      </c>
    </row>
    <row r="41" spans="1:9" x14ac:dyDescent="0.3">
      <c r="A41" s="58">
        <v>36</v>
      </c>
      <c r="B41" s="59" t="s">
        <v>65</v>
      </c>
      <c r="C41" s="58">
        <v>7.6349999999999998</v>
      </c>
      <c r="D41" s="58">
        <v>24.597999999999999</v>
      </c>
      <c r="E41" s="60">
        <v>32.232999999999997</v>
      </c>
      <c r="F41" s="61">
        <v>0.45600000000000002</v>
      </c>
      <c r="G41" s="58">
        <v>18.276</v>
      </c>
      <c r="H41" s="62" t="s">
        <v>178</v>
      </c>
      <c r="I41" s="63"/>
    </row>
    <row r="42" spans="1:9" x14ac:dyDescent="0.3">
      <c r="A42" s="58">
        <v>37</v>
      </c>
      <c r="B42" s="59" t="s">
        <v>66</v>
      </c>
      <c r="C42" s="58">
        <v>10.318</v>
      </c>
      <c r="D42" s="58">
        <v>32.9</v>
      </c>
      <c r="E42" s="60">
        <v>43.218000000000004</v>
      </c>
      <c r="F42" s="61">
        <v>0.61140000000000005</v>
      </c>
      <c r="G42" s="58">
        <v>24.504000000000001</v>
      </c>
      <c r="H42" s="62" t="s">
        <v>178</v>
      </c>
      <c r="I42" s="63"/>
    </row>
    <row r="43" spans="1:9" x14ac:dyDescent="0.3">
      <c r="A43" s="58">
        <v>38</v>
      </c>
      <c r="B43" s="59" t="s">
        <v>67</v>
      </c>
      <c r="C43" s="58">
        <v>13.113</v>
      </c>
      <c r="D43" s="58">
        <v>34.307000000000002</v>
      </c>
      <c r="E43" s="60">
        <v>47.42</v>
      </c>
      <c r="F43" s="61">
        <v>0.67079999999999995</v>
      </c>
      <c r="G43" s="58">
        <v>26.887</v>
      </c>
      <c r="H43" s="62" t="s">
        <v>178</v>
      </c>
      <c r="I43" s="63"/>
    </row>
    <row r="44" spans="1:9" x14ac:dyDescent="0.3">
      <c r="A44" s="58">
        <v>39</v>
      </c>
      <c r="B44" s="59" t="s">
        <v>68</v>
      </c>
      <c r="C44" s="58">
        <v>15.843999999999999</v>
      </c>
      <c r="D44" s="58">
        <v>35.472999999999999</v>
      </c>
      <c r="E44" s="60">
        <v>51.317</v>
      </c>
      <c r="F44" s="61">
        <v>0.72589999999999999</v>
      </c>
      <c r="G44" s="58">
        <v>29.096</v>
      </c>
      <c r="H44" s="62" t="s">
        <v>178</v>
      </c>
      <c r="I44" s="63"/>
    </row>
    <row r="45" spans="1:9" x14ac:dyDescent="0.3">
      <c r="A45" s="58">
        <v>40</v>
      </c>
      <c r="B45" s="59" t="s">
        <v>69</v>
      </c>
      <c r="C45" s="58">
        <v>18.335000000000001</v>
      </c>
      <c r="D45" s="58">
        <v>36.406999999999996</v>
      </c>
      <c r="E45" s="60">
        <v>54.741999999999997</v>
      </c>
      <c r="F45" s="61">
        <v>0.77439999999999998</v>
      </c>
      <c r="G45" s="58">
        <v>31.038</v>
      </c>
      <c r="H45" s="62" t="s">
        <v>178</v>
      </c>
      <c r="I45" s="63"/>
    </row>
    <row r="46" spans="1:9" x14ac:dyDescent="0.3">
      <c r="A46" s="58">
        <v>41</v>
      </c>
      <c r="B46" s="59" t="s">
        <v>70</v>
      </c>
      <c r="C46" s="58">
        <v>20.41</v>
      </c>
      <c r="D46" s="58">
        <v>37.116999999999997</v>
      </c>
      <c r="E46" s="60">
        <v>57.527000000000001</v>
      </c>
      <c r="F46" s="61">
        <v>0.81379999999999997</v>
      </c>
      <c r="G46" s="58">
        <v>32.618000000000002</v>
      </c>
      <c r="H46" s="62" t="s">
        <v>178</v>
      </c>
      <c r="I46" s="63"/>
    </row>
    <row r="47" spans="1:9" x14ac:dyDescent="0.3">
      <c r="A47" s="58">
        <v>42</v>
      </c>
      <c r="B47" s="59" t="s">
        <v>71</v>
      </c>
      <c r="C47" s="58">
        <v>22.09</v>
      </c>
      <c r="D47" s="58">
        <v>37.613999999999997</v>
      </c>
      <c r="E47" s="60">
        <v>59.704000000000001</v>
      </c>
      <c r="F47" s="61">
        <v>0.84460000000000002</v>
      </c>
      <c r="G47" s="58">
        <v>33.851999999999997</v>
      </c>
      <c r="H47" s="62" t="s">
        <v>178</v>
      </c>
      <c r="I47" s="63"/>
    </row>
    <row r="48" spans="1:9" x14ac:dyDescent="0.3">
      <c r="A48" s="58">
        <v>43</v>
      </c>
      <c r="B48" s="59" t="s">
        <v>72</v>
      </c>
      <c r="C48" s="58">
        <v>26.73</v>
      </c>
      <c r="D48" s="58">
        <v>37.905000000000001</v>
      </c>
      <c r="E48" s="59">
        <v>64.635000000000005</v>
      </c>
      <c r="F48" s="64">
        <v>0.9143</v>
      </c>
      <c r="G48" s="58">
        <v>36.648000000000003</v>
      </c>
      <c r="H48" s="62" t="s">
        <v>178</v>
      </c>
      <c r="I48" s="63"/>
    </row>
    <row r="49" spans="1:9" x14ac:dyDescent="0.3">
      <c r="A49" s="58">
        <v>44</v>
      </c>
      <c r="B49" s="59" t="s">
        <v>73</v>
      </c>
      <c r="C49" s="58">
        <v>30.61</v>
      </c>
      <c r="D49" s="58">
        <v>38</v>
      </c>
      <c r="E49" s="59">
        <v>68.61</v>
      </c>
      <c r="F49" s="64">
        <v>0.97060000000000002</v>
      </c>
      <c r="G49" s="58">
        <v>38.901000000000003</v>
      </c>
      <c r="H49" s="62" t="s">
        <v>178</v>
      </c>
      <c r="I49" s="63" t="s">
        <v>74</v>
      </c>
    </row>
    <row r="50" spans="1:9" x14ac:dyDescent="0.3">
      <c r="A50" s="58">
        <v>45</v>
      </c>
      <c r="B50" s="59" t="s">
        <v>75</v>
      </c>
      <c r="C50" s="58">
        <v>30.36</v>
      </c>
      <c r="D50" s="58">
        <v>37.834000000000003</v>
      </c>
      <c r="E50" s="59">
        <v>68.194000000000003</v>
      </c>
      <c r="F50" s="64">
        <v>0.9647</v>
      </c>
      <c r="G50" s="58">
        <v>38.665999999999997</v>
      </c>
      <c r="H50" s="62" t="s">
        <v>178</v>
      </c>
      <c r="I50" s="63"/>
    </row>
    <row r="51" spans="1:9" x14ac:dyDescent="0.3">
      <c r="A51" s="58">
        <v>46</v>
      </c>
      <c r="B51" s="59" t="s">
        <v>76</v>
      </c>
      <c r="C51" s="58">
        <v>30.32</v>
      </c>
      <c r="D51" s="58">
        <v>37.35</v>
      </c>
      <c r="E51" s="59">
        <v>67.67</v>
      </c>
      <c r="F51" s="64">
        <v>0.95730000000000004</v>
      </c>
      <c r="G51" s="58">
        <v>38.368000000000002</v>
      </c>
      <c r="H51" s="62" t="s">
        <v>178</v>
      </c>
      <c r="I51" s="63"/>
    </row>
    <row r="52" spans="1:9" x14ac:dyDescent="0.3">
      <c r="A52" s="58">
        <v>47</v>
      </c>
      <c r="B52" s="59" t="s">
        <v>77</v>
      </c>
      <c r="C52" s="58">
        <v>30.57</v>
      </c>
      <c r="D52" s="58">
        <v>36.566000000000003</v>
      </c>
      <c r="E52" s="59">
        <v>67.135999999999996</v>
      </c>
      <c r="F52" s="64">
        <v>0.94969999999999999</v>
      </c>
      <c r="G52" s="58">
        <v>38.064999999999998</v>
      </c>
      <c r="H52" s="62" t="s">
        <v>178</v>
      </c>
      <c r="I52" s="63"/>
    </row>
    <row r="53" spans="1:9" x14ac:dyDescent="0.3">
      <c r="A53" s="58">
        <v>48</v>
      </c>
      <c r="B53" s="59" t="s">
        <v>78</v>
      </c>
      <c r="C53" s="58">
        <v>30.89</v>
      </c>
      <c r="D53" s="58">
        <v>35.5</v>
      </c>
      <c r="E53" s="59">
        <v>66.39</v>
      </c>
      <c r="F53" s="64">
        <v>0.93920000000000003</v>
      </c>
      <c r="G53" s="58">
        <v>37.643000000000001</v>
      </c>
      <c r="H53" s="62" t="s">
        <v>178</v>
      </c>
      <c r="I53" s="63"/>
    </row>
    <row r="54" spans="1:9" x14ac:dyDescent="0.3">
      <c r="A54" s="58">
        <v>49</v>
      </c>
      <c r="B54" s="59" t="s">
        <v>80</v>
      </c>
      <c r="C54" s="58">
        <v>30.53</v>
      </c>
      <c r="D54" s="58">
        <v>30.594999999999999</v>
      </c>
      <c r="E54" s="60">
        <v>61.125</v>
      </c>
      <c r="F54" s="61">
        <v>0.86470000000000002</v>
      </c>
      <c r="G54" s="58">
        <v>34.658000000000001</v>
      </c>
      <c r="H54" s="62" t="s">
        <v>178</v>
      </c>
      <c r="I54" s="63"/>
    </row>
    <row r="55" spans="1:9" x14ac:dyDescent="0.3">
      <c r="A55" s="58">
        <v>50</v>
      </c>
      <c r="B55" s="59" t="s">
        <v>82</v>
      </c>
      <c r="C55" s="58">
        <v>30.59</v>
      </c>
      <c r="D55" s="58">
        <v>26.29</v>
      </c>
      <c r="E55" s="60">
        <v>56.88</v>
      </c>
      <c r="F55" s="61">
        <v>0.80459999999999998</v>
      </c>
      <c r="G55" s="58">
        <v>32.250999999999998</v>
      </c>
      <c r="H55" s="62" t="s">
        <v>178</v>
      </c>
      <c r="I55" s="63"/>
    </row>
    <row r="56" spans="1:9" x14ac:dyDescent="0.3">
      <c r="A56" s="58">
        <v>51</v>
      </c>
      <c r="B56" s="59" t="s">
        <v>84</v>
      </c>
      <c r="C56" s="58">
        <v>31</v>
      </c>
      <c r="D56" s="58">
        <v>39.69</v>
      </c>
      <c r="E56" s="59">
        <v>70.69</v>
      </c>
      <c r="F56" s="64">
        <v>1</v>
      </c>
      <c r="G56" s="58">
        <v>40.081000000000003</v>
      </c>
      <c r="H56" s="62" t="s">
        <v>178</v>
      </c>
      <c r="I56" s="63" t="s">
        <v>182</v>
      </c>
    </row>
    <row r="57" spans="1:9" x14ac:dyDescent="0.3">
      <c r="A57" s="58">
        <v>52</v>
      </c>
      <c r="B57" s="59" t="s">
        <v>86</v>
      </c>
      <c r="C57" s="58">
        <v>30.84</v>
      </c>
      <c r="D57" s="58">
        <v>39.39</v>
      </c>
      <c r="E57" s="59">
        <v>70.23</v>
      </c>
      <c r="F57" s="64">
        <v>0.99350000000000005</v>
      </c>
      <c r="G57" s="58">
        <v>39.82</v>
      </c>
      <c r="H57" s="62" t="s">
        <v>178</v>
      </c>
      <c r="I57" s="63" t="s">
        <v>183</v>
      </c>
    </row>
    <row r="58" spans="1:9" x14ac:dyDescent="0.3">
      <c r="A58" s="58">
        <v>53</v>
      </c>
      <c r="B58" s="59" t="s">
        <v>87</v>
      </c>
      <c r="C58" s="58">
        <v>31.33</v>
      </c>
      <c r="D58" s="58">
        <v>37.82</v>
      </c>
      <c r="E58" s="59">
        <v>69.150000000000006</v>
      </c>
      <c r="F58" s="64">
        <v>0.97819999999999996</v>
      </c>
      <c r="G58" s="58">
        <v>39.207999999999998</v>
      </c>
      <c r="H58" s="62" t="s">
        <v>178</v>
      </c>
      <c r="I58" s="63"/>
    </row>
    <row r="59" spans="1:9" x14ac:dyDescent="0.3">
      <c r="A59" s="58">
        <v>54</v>
      </c>
      <c r="B59" s="59" t="s">
        <v>88</v>
      </c>
      <c r="C59" s="58">
        <v>31.32</v>
      </c>
      <c r="D59" s="58">
        <v>37.44</v>
      </c>
      <c r="E59" s="59">
        <v>68.760000000000005</v>
      </c>
      <c r="F59" s="64">
        <v>0.97270000000000001</v>
      </c>
      <c r="G59" s="58">
        <v>38.987000000000002</v>
      </c>
      <c r="H59" s="62" t="s">
        <v>178</v>
      </c>
      <c r="I59" s="63"/>
    </row>
    <row r="60" spans="1:9" x14ac:dyDescent="0.3">
      <c r="A60" s="58">
        <v>55</v>
      </c>
      <c r="B60" s="59" t="s">
        <v>89</v>
      </c>
      <c r="C60" s="58">
        <v>27.73</v>
      </c>
      <c r="D60" s="58">
        <v>34.03</v>
      </c>
      <c r="E60" s="60">
        <v>61.76</v>
      </c>
      <c r="F60" s="61">
        <v>0.87370000000000003</v>
      </c>
      <c r="G60" s="58">
        <v>35.018000000000001</v>
      </c>
      <c r="H60" s="62" t="s">
        <v>178</v>
      </c>
      <c r="I60" s="63"/>
    </row>
    <row r="61" spans="1:9" x14ac:dyDescent="0.3">
      <c r="A61" s="58">
        <v>56</v>
      </c>
      <c r="B61" s="59" t="s">
        <v>90</v>
      </c>
      <c r="C61" s="58">
        <v>27.81</v>
      </c>
      <c r="D61" s="58">
        <v>33.512999999999998</v>
      </c>
      <c r="E61" s="60">
        <v>61.323</v>
      </c>
      <c r="F61" s="61">
        <v>0.86750000000000005</v>
      </c>
      <c r="G61" s="58">
        <v>34.770000000000003</v>
      </c>
      <c r="H61" s="62" t="s">
        <v>178</v>
      </c>
      <c r="I61" s="63"/>
    </row>
    <row r="62" spans="1:9" x14ac:dyDescent="0.3">
      <c r="A62" s="58">
        <v>57</v>
      </c>
      <c r="B62" s="59" t="s">
        <v>91</v>
      </c>
      <c r="C62" s="58">
        <v>22.66</v>
      </c>
      <c r="D62" s="58">
        <v>33.229999999999997</v>
      </c>
      <c r="E62" s="60">
        <v>55.89</v>
      </c>
      <c r="F62" s="61">
        <v>0.79059999999999997</v>
      </c>
      <c r="G62" s="58">
        <v>31.689</v>
      </c>
      <c r="H62" s="62" t="s">
        <v>178</v>
      </c>
      <c r="I62" s="63"/>
    </row>
    <row r="63" spans="1:9" x14ac:dyDescent="0.3">
      <c r="A63" s="58">
        <v>58</v>
      </c>
      <c r="B63" s="59" t="s">
        <v>92</v>
      </c>
      <c r="C63" s="58">
        <v>25.54</v>
      </c>
      <c r="D63" s="58">
        <v>29.95</v>
      </c>
      <c r="E63" s="60">
        <v>55.49</v>
      </c>
      <c r="F63" s="61">
        <v>0.78500000000000003</v>
      </c>
      <c r="G63" s="58">
        <v>31.463000000000001</v>
      </c>
      <c r="H63" s="62" t="s">
        <v>178</v>
      </c>
      <c r="I63" s="63"/>
    </row>
    <row r="64" spans="1:9" x14ac:dyDescent="0.3">
      <c r="A64" s="58">
        <v>59</v>
      </c>
      <c r="B64" s="59" t="s">
        <v>94</v>
      </c>
      <c r="C64" s="58">
        <v>21.96</v>
      </c>
      <c r="D64" s="58">
        <v>27.292999999999999</v>
      </c>
      <c r="E64" s="60">
        <v>49.253</v>
      </c>
      <c r="F64" s="61">
        <v>0.69679999999999997</v>
      </c>
      <c r="G64" s="58">
        <v>27.925999999999998</v>
      </c>
      <c r="H64" s="62" t="s">
        <v>178</v>
      </c>
      <c r="I64" s="63"/>
    </row>
    <row r="65" spans="1:9" x14ac:dyDescent="0.3">
      <c r="A65" s="58">
        <v>60</v>
      </c>
      <c r="B65" s="59" t="s">
        <v>95</v>
      </c>
      <c r="C65" s="58">
        <v>22.03</v>
      </c>
      <c r="D65" s="58">
        <v>26.943000000000001</v>
      </c>
      <c r="E65" s="60">
        <v>48.972999999999999</v>
      </c>
      <c r="F65" s="61">
        <v>0.69279999999999997</v>
      </c>
      <c r="G65" s="58">
        <v>27.768000000000001</v>
      </c>
      <c r="H65" s="62" t="s">
        <v>178</v>
      </c>
      <c r="I65" s="63"/>
    </row>
    <row r="66" spans="1:9" x14ac:dyDescent="0.3">
      <c r="A66" s="58">
        <v>61</v>
      </c>
      <c r="B66" s="59" t="s">
        <v>96</v>
      </c>
      <c r="C66" s="58">
        <v>24.41</v>
      </c>
      <c r="D66" s="58">
        <v>24.637</v>
      </c>
      <c r="E66" s="60">
        <v>49.046999999999997</v>
      </c>
      <c r="F66" s="61">
        <v>0.69379999999999997</v>
      </c>
      <c r="G66" s="58">
        <v>27.809000000000001</v>
      </c>
      <c r="H66" s="62" t="s">
        <v>178</v>
      </c>
      <c r="I66" s="63"/>
    </row>
    <row r="67" spans="1:9" x14ac:dyDescent="0.3">
      <c r="A67" s="58">
        <v>62</v>
      </c>
      <c r="B67" s="59" t="s">
        <v>97</v>
      </c>
      <c r="C67" s="58">
        <v>23.96</v>
      </c>
      <c r="D67" s="58">
        <v>21.84</v>
      </c>
      <c r="E67" s="60">
        <v>45.8</v>
      </c>
      <c r="F67" s="61">
        <v>0.64790000000000003</v>
      </c>
      <c r="G67" s="58">
        <v>25.968</v>
      </c>
      <c r="H67" s="62" t="s">
        <v>178</v>
      </c>
      <c r="I67" s="63"/>
    </row>
    <row r="68" spans="1:9" x14ac:dyDescent="0.3">
      <c r="A68" s="58">
        <v>63</v>
      </c>
      <c r="B68" s="59" t="s">
        <v>98</v>
      </c>
      <c r="C68" s="58">
        <v>21.13</v>
      </c>
      <c r="D68" s="58">
        <v>21.63</v>
      </c>
      <c r="E68" s="60">
        <v>42.76</v>
      </c>
      <c r="F68" s="61">
        <v>0.60489999999999999</v>
      </c>
      <c r="G68" s="58">
        <v>24.245000000000001</v>
      </c>
      <c r="H68" s="62" t="s">
        <v>178</v>
      </c>
      <c r="I68" s="63"/>
    </row>
    <row r="69" spans="1:9" x14ac:dyDescent="0.3">
      <c r="A69" s="58">
        <v>64</v>
      </c>
      <c r="B69" s="59" t="s">
        <v>99</v>
      </c>
      <c r="C69" s="58">
        <v>21.75</v>
      </c>
      <c r="D69" s="58">
        <v>21.92</v>
      </c>
      <c r="E69" s="60">
        <v>43.67</v>
      </c>
      <c r="F69" s="61">
        <v>0.61780000000000002</v>
      </c>
      <c r="G69" s="58">
        <v>24.760999999999999</v>
      </c>
      <c r="H69" s="62" t="s">
        <v>178</v>
      </c>
      <c r="I69" s="63"/>
    </row>
    <row r="70" spans="1:9" x14ac:dyDescent="0.3">
      <c r="A70" s="58">
        <v>65</v>
      </c>
      <c r="B70" s="59" t="s">
        <v>100</v>
      </c>
      <c r="C70" s="58">
        <v>21.56</v>
      </c>
      <c r="D70" s="58">
        <v>21.7</v>
      </c>
      <c r="E70" s="60">
        <v>43.26</v>
      </c>
      <c r="F70" s="61">
        <v>0.61199999999999999</v>
      </c>
      <c r="G70" s="58">
        <v>24.527999999999999</v>
      </c>
      <c r="H70" s="62" t="s">
        <v>178</v>
      </c>
      <c r="I70" s="63"/>
    </row>
    <row r="71" spans="1:9" x14ac:dyDescent="0.3">
      <c r="A71" s="58">
        <v>66</v>
      </c>
      <c r="B71" s="59" t="s">
        <v>102</v>
      </c>
      <c r="C71" s="58">
        <v>21.15</v>
      </c>
      <c r="D71" s="58">
        <v>11.6</v>
      </c>
      <c r="E71" s="60">
        <v>32.75</v>
      </c>
      <c r="F71" s="61">
        <v>0.46329999999999999</v>
      </c>
      <c r="G71" s="58">
        <v>18.568999999999999</v>
      </c>
      <c r="H71" s="62" t="s">
        <v>178</v>
      </c>
      <c r="I71" s="63"/>
    </row>
    <row r="72" spans="1:9" x14ac:dyDescent="0.3">
      <c r="A72" s="58">
        <v>67</v>
      </c>
      <c r="B72" s="59" t="s">
        <v>104</v>
      </c>
      <c r="C72" s="58">
        <v>14.76</v>
      </c>
      <c r="D72" s="58">
        <v>7.3730000000000002</v>
      </c>
      <c r="E72" s="60">
        <v>22.132999999999999</v>
      </c>
      <c r="F72" s="61">
        <v>0.31309999999999999</v>
      </c>
      <c r="G72" s="58">
        <v>12.548999999999999</v>
      </c>
      <c r="H72" s="62" t="s">
        <v>178</v>
      </c>
      <c r="I72" s="63"/>
    </row>
    <row r="73" spans="1:9" x14ac:dyDescent="0.3">
      <c r="A73" s="58">
        <v>68</v>
      </c>
      <c r="B73" s="59" t="s">
        <v>105</v>
      </c>
      <c r="C73" s="58">
        <v>3.82</v>
      </c>
      <c r="D73" s="58">
        <v>5.32</v>
      </c>
      <c r="E73" s="60">
        <v>9.14</v>
      </c>
      <c r="F73" s="61">
        <v>0.1293</v>
      </c>
      <c r="G73" s="58">
        <v>5.1820000000000004</v>
      </c>
      <c r="H73" s="62" t="s">
        <v>178</v>
      </c>
      <c r="I73" s="63" t="s">
        <v>184</v>
      </c>
    </row>
    <row r="74" spans="1:9" x14ac:dyDescent="0.3">
      <c r="A74" s="58">
        <v>69</v>
      </c>
      <c r="B74" s="59" t="s">
        <v>106</v>
      </c>
      <c r="C74" s="58">
        <v>3.65</v>
      </c>
      <c r="D74" s="58">
        <v>4.8289999999999997</v>
      </c>
      <c r="E74" s="60">
        <v>8.4789999999999992</v>
      </c>
      <c r="F74" s="61">
        <v>0.12</v>
      </c>
      <c r="G74" s="58">
        <v>4.8079999999999998</v>
      </c>
      <c r="H74" s="62" t="s">
        <v>178</v>
      </c>
      <c r="I74" s="63"/>
    </row>
    <row r="75" spans="1:9" x14ac:dyDescent="0.3">
      <c r="A75" s="58">
        <v>70</v>
      </c>
      <c r="B75" s="59" t="s">
        <v>107</v>
      </c>
      <c r="C75" s="58">
        <v>3.48</v>
      </c>
      <c r="D75" s="58">
        <v>4.41</v>
      </c>
      <c r="E75" s="60">
        <v>7.89</v>
      </c>
      <c r="F75" s="61">
        <v>0.1116</v>
      </c>
      <c r="G75" s="58">
        <v>4.4740000000000002</v>
      </c>
      <c r="H75" s="62" t="s">
        <v>178</v>
      </c>
      <c r="I75" s="63"/>
    </row>
    <row r="76" spans="1:9" x14ac:dyDescent="0.3">
      <c r="A76" s="58">
        <v>71</v>
      </c>
      <c r="B76" s="59" t="s">
        <v>108</v>
      </c>
      <c r="C76" s="58">
        <v>3.51</v>
      </c>
      <c r="D76" s="58">
        <v>4.0549999999999997</v>
      </c>
      <c r="E76" s="60">
        <v>7.5650000000000004</v>
      </c>
      <c r="F76" s="61">
        <v>0.107</v>
      </c>
      <c r="G76" s="58">
        <v>4.2889999999999997</v>
      </c>
      <c r="H76" s="62" t="s">
        <v>178</v>
      </c>
      <c r="I76" s="63"/>
    </row>
    <row r="77" spans="1:9" x14ac:dyDescent="0.3">
      <c r="A77" s="58">
        <v>72</v>
      </c>
      <c r="B77" s="59" t="s">
        <v>109</v>
      </c>
      <c r="C77" s="58">
        <v>3.52</v>
      </c>
      <c r="D77" s="58">
        <v>3.758</v>
      </c>
      <c r="E77" s="60">
        <v>7.2779999999999996</v>
      </c>
      <c r="F77" s="61">
        <v>0.10299999999999999</v>
      </c>
      <c r="G77" s="58">
        <v>4.1260000000000003</v>
      </c>
      <c r="H77" s="62" t="s">
        <v>178</v>
      </c>
      <c r="I77" s="63"/>
    </row>
    <row r="78" spans="1:9" x14ac:dyDescent="0.3">
      <c r="A78" s="58">
        <v>73</v>
      </c>
      <c r="B78" s="59" t="s">
        <v>110</v>
      </c>
      <c r="C78" s="58">
        <v>3.43</v>
      </c>
      <c r="D78" s="58">
        <v>3.51</v>
      </c>
      <c r="E78" s="60">
        <v>6.94</v>
      </c>
      <c r="F78" s="61">
        <v>9.8199999999999996E-2</v>
      </c>
      <c r="G78" s="58">
        <v>3.9350000000000001</v>
      </c>
      <c r="H78" s="62" t="s">
        <v>178</v>
      </c>
      <c r="I78" s="63"/>
    </row>
    <row r="79" spans="1:9" x14ac:dyDescent="0.3">
      <c r="A79" s="58">
        <v>74</v>
      </c>
      <c r="B79" s="59" t="s">
        <v>111</v>
      </c>
      <c r="C79" s="58">
        <v>3.38</v>
      </c>
      <c r="D79" s="58">
        <v>3.306</v>
      </c>
      <c r="E79" s="60">
        <v>6.6859999999999999</v>
      </c>
      <c r="F79" s="61">
        <v>9.4600000000000004E-2</v>
      </c>
      <c r="G79" s="58">
        <v>3.7909999999999999</v>
      </c>
      <c r="H79" s="62" t="s">
        <v>178</v>
      </c>
      <c r="I79" s="63"/>
    </row>
    <row r="80" spans="1:9" x14ac:dyDescent="0.3">
      <c r="A80" s="58">
        <v>75</v>
      </c>
      <c r="B80" s="59" t="s">
        <v>112</v>
      </c>
      <c r="C80" s="58">
        <v>3.48</v>
      </c>
      <c r="D80" s="58">
        <v>3.1389999999999998</v>
      </c>
      <c r="E80" s="60">
        <v>6.6189999999999998</v>
      </c>
      <c r="F80" s="61">
        <v>9.3600000000000003E-2</v>
      </c>
      <c r="G80" s="58">
        <v>3.7530000000000001</v>
      </c>
      <c r="H80" s="62" t="s">
        <v>178</v>
      </c>
      <c r="I80" s="63"/>
    </row>
    <row r="81" spans="1:9" x14ac:dyDescent="0.3">
      <c r="A81" s="58">
        <v>76</v>
      </c>
      <c r="B81" s="59" t="s">
        <v>113</v>
      </c>
      <c r="C81" s="58">
        <v>3.37</v>
      </c>
      <c r="D81" s="58">
        <v>3</v>
      </c>
      <c r="E81" s="60">
        <v>6.37</v>
      </c>
      <c r="F81" s="61">
        <v>9.01E-2</v>
      </c>
      <c r="G81" s="58">
        <v>3.6120000000000001</v>
      </c>
      <c r="H81" s="62" t="s">
        <v>178</v>
      </c>
      <c r="I81" s="63"/>
    </row>
    <row r="82" spans="1:9" x14ac:dyDescent="0.3">
      <c r="A82" s="58">
        <v>77</v>
      </c>
      <c r="B82" s="59" t="s">
        <v>114</v>
      </c>
      <c r="C82" s="58">
        <v>3.22</v>
      </c>
      <c r="D82" s="58">
        <v>2.8839999999999999</v>
      </c>
      <c r="E82" s="60">
        <v>6.1040000000000001</v>
      </c>
      <c r="F82" s="61">
        <v>8.6400000000000005E-2</v>
      </c>
      <c r="G82" s="58">
        <v>3.4609999999999999</v>
      </c>
      <c r="H82" s="62" t="s">
        <v>178</v>
      </c>
      <c r="I82" s="63"/>
    </row>
    <row r="83" spans="1:9" x14ac:dyDescent="0.3">
      <c r="A83" s="58">
        <v>78</v>
      </c>
      <c r="B83" s="59" t="s">
        <v>115</v>
      </c>
      <c r="C83" s="58">
        <v>3.12</v>
      </c>
      <c r="D83" s="58">
        <v>2.7829999999999999</v>
      </c>
      <c r="E83" s="60">
        <v>5.9029999999999996</v>
      </c>
      <c r="F83" s="61">
        <v>8.3500000000000005E-2</v>
      </c>
      <c r="G83" s="58">
        <v>3.347</v>
      </c>
      <c r="H83" s="62" t="s">
        <v>178</v>
      </c>
      <c r="I83" s="63"/>
    </row>
    <row r="84" spans="1:9" x14ac:dyDescent="0.3">
      <c r="A84" s="58">
        <v>79</v>
      </c>
      <c r="B84" s="59" t="s">
        <v>116</v>
      </c>
      <c r="C84" s="58">
        <v>2.95</v>
      </c>
      <c r="D84" s="58">
        <v>2.6909999999999998</v>
      </c>
      <c r="E84" s="60">
        <v>5.641</v>
      </c>
      <c r="F84" s="61">
        <v>7.9799999999999996E-2</v>
      </c>
      <c r="G84" s="58">
        <v>3.198</v>
      </c>
      <c r="H84" s="62" t="s">
        <v>178</v>
      </c>
      <c r="I84" s="63"/>
    </row>
    <row r="85" spans="1:9" x14ac:dyDescent="0.3">
      <c r="A85" s="58">
        <v>80</v>
      </c>
      <c r="B85" s="59" t="s">
        <v>117</v>
      </c>
      <c r="C85" s="58">
        <v>2.91</v>
      </c>
      <c r="D85" s="58">
        <v>2.6</v>
      </c>
      <c r="E85" s="60">
        <v>5.51</v>
      </c>
      <c r="F85" s="61">
        <v>7.7899999999999997E-2</v>
      </c>
      <c r="G85" s="58">
        <v>3.1240000000000001</v>
      </c>
      <c r="H85" s="62" t="s">
        <v>178</v>
      </c>
      <c r="I85" s="63"/>
    </row>
    <row r="86" spans="1:9" x14ac:dyDescent="0.3">
      <c r="A86" s="58">
        <v>81</v>
      </c>
      <c r="B86" s="59" t="s">
        <v>118</v>
      </c>
      <c r="C86" s="58">
        <v>2.38</v>
      </c>
      <c r="D86" s="58">
        <v>2.5129999999999999</v>
      </c>
      <c r="E86" s="60">
        <v>4.8929999999999998</v>
      </c>
      <c r="F86" s="61">
        <v>6.9199999999999998E-2</v>
      </c>
      <c r="G86" s="58">
        <v>2.7749999999999999</v>
      </c>
      <c r="H86" s="62" t="s">
        <v>178</v>
      </c>
      <c r="I86" s="63"/>
    </row>
    <row r="87" spans="1:9" x14ac:dyDescent="0.3">
      <c r="A87" s="58">
        <v>82</v>
      </c>
      <c r="B87" s="59" t="s">
        <v>119</v>
      </c>
      <c r="C87" s="58">
        <v>3.37</v>
      </c>
      <c r="D87" s="58">
        <v>2.4380000000000002</v>
      </c>
      <c r="E87" s="60">
        <v>5.8079999999999998</v>
      </c>
      <c r="F87" s="61">
        <v>8.2199999999999995E-2</v>
      </c>
      <c r="G87" s="58">
        <v>3.2930000000000001</v>
      </c>
      <c r="H87" s="62" t="s">
        <v>178</v>
      </c>
      <c r="I87" s="63"/>
    </row>
    <row r="88" spans="1:9" x14ac:dyDescent="0.3">
      <c r="A88" s="58">
        <v>83</v>
      </c>
      <c r="B88" s="59" t="s">
        <v>120</v>
      </c>
      <c r="C88" s="58">
        <v>3.16</v>
      </c>
      <c r="D88" s="58">
        <v>2.3719999999999999</v>
      </c>
      <c r="E88" s="60">
        <v>5.532</v>
      </c>
      <c r="F88" s="61">
        <v>7.8299999999999995E-2</v>
      </c>
      <c r="G88" s="58">
        <v>3.1360000000000001</v>
      </c>
      <c r="H88" s="62" t="s">
        <v>178</v>
      </c>
      <c r="I88" s="63"/>
    </row>
    <row r="89" spans="1:9" x14ac:dyDescent="0.3">
      <c r="A89" s="58">
        <v>84</v>
      </c>
      <c r="B89" s="59" t="s">
        <v>121</v>
      </c>
      <c r="C89" s="58">
        <v>3.16</v>
      </c>
      <c r="D89" s="58">
        <v>2.3130000000000002</v>
      </c>
      <c r="E89" s="60">
        <v>5.4729999999999999</v>
      </c>
      <c r="F89" s="61">
        <v>7.7399999999999997E-2</v>
      </c>
      <c r="G89" s="58">
        <v>3.1030000000000002</v>
      </c>
      <c r="H89" s="62" t="s">
        <v>178</v>
      </c>
      <c r="I89" s="63"/>
    </row>
    <row r="90" spans="1:9" x14ac:dyDescent="0.3">
      <c r="A90" s="58">
        <v>85</v>
      </c>
      <c r="B90" s="59" t="s">
        <v>122</v>
      </c>
      <c r="C90" s="58">
        <v>3.23</v>
      </c>
      <c r="D90" s="58">
        <v>2.2599999999999998</v>
      </c>
      <c r="E90" s="60">
        <v>5.49</v>
      </c>
      <c r="F90" s="61">
        <v>7.7700000000000005E-2</v>
      </c>
      <c r="G90" s="58">
        <v>3.113</v>
      </c>
      <c r="H90" s="62" t="s">
        <v>178</v>
      </c>
      <c r="I90" s="63"/>
    </row>
    <row r="91" spans="1:9" x14ac:dyDescent="0.3">
      <c r="A91" s="58">
        <v>86</v>
      </c>
      <c r="B91" s="59" t="s">
        <v>123</v>
      </c>
      <c r="C91" s="58">
        <v>2.97</v>
      </c>
      <c r="D91" s="58">
        <v>2.2109999999999999</v>
      </c>
      <c r="E91" s="60">
        <v>5.181</v>
      </c>
      <c r="F91" s="61">
        <v>7.3300000000000004E-2</v>
      </c>
      <c r="G91" s="58">
        <v>2.9369999999999998</v>
      </c>
      <c r="H91" s="62" t="s">
        <v>178</v>
      </c>
      <c r="I91" s="63"/>
    </row>
    <row r="92" spans="1:9" x14ac:dyDescent="0.3">
      <c r="A92" s="58">
        <v>87</v>
      </c>
      <c r="B92" s="59" t="s">
        <v>124</v>
      </c>
      <c r="C92" s="58">
        <v>2.57</v>
      </c>
      <c r="D92" s="58">
        <v>2.1640000000000001</v>
      </c>
      <c r="E92" s="60">
        <v>4.734</v>
      </c>
      <c r="F92" s="61">
        <v>6.7000000000000004E-2</v>
      </c>
      <c r="G92" s="58">
        <v>2.6840000000000002</v>
      </c>
      <c r="H92" s="62" t="s">
        <v>178</v>
      </c>
      <c r="I92" s="63"/>
    </row>
    <row r="93" spans="1:9" x14ac:dyDescent="0.3">
      <c r="A93" s="58">
        <v>88</v>
      </c>
      <c r="B93" s="59" t="s">
        <v>125</v>
      </c>
      <c r="C93" s="58">
        <v>2.65</v>
      </c>
      <c r="D93" s="58">
        <v>2.117</v>
      </c>
      <c r="E93" s="60">
        <v>4.7670000000000003</v>
      </c>
      <c r="F93" s="61">
        <v>6.7400000000000002E-2</v>
      </c>
      <c r="G93" s="58">
        <v>2.7029999999999998</v>
      </c>
      <c r="H93" s="62" t="s">
        <v>178</v>
      </c>
      <c r="I93" s="63"/>
    </row>
    <row r="94" spans="1:9" x14ac:dyDescent="0.3">
      <c r="A94" s="52">
        <v>89</v>
      </c>
      <c r="B94" s="53" t="s">
        <v>126</v>
      </c>
      <c r="C94" s="52" t="s">
        <v>185</v>
      </c>
      <c r="D94" s="52">
        <v>2.069</v>
      </c>
      <c r="E94" s="54">
        <v>4.8689999999999998</v>
      </c>
      <c r="F94" s="55">
        <v>6.8900000000000003E-2</v>
      </c>
      <c r="G94" s="52">
        <v>2.7610000000000001</v>
      </c>
      <c r="H94" s="56" t="s">
        <v>177</v>
      </c>
      <c r="I94" s="57"/>
    </row>
    <row r="95" spans="1:9" x14ac:dyDescent="0.3">
      <c r="A95" s="52">
        <v>90</v>
      </c>
      <c r="B95" s="53" t="s">
        <v>127</v>
      </c>
      <c r="C95" s="52" t="s">
        <v>185</v>
      </c>
      <c r="D95" s="52">
        <v>2.0179999999999998</v>
      </c>
      <c r="E95" s="54">
        <v>4.8179999999999996</v>
      </c>
      <c r="F95" s="55">
        <v>6.8199999999999997E-2</v>
      </c>
      <c r="G95" s="52">
        <v>2.7320000000000002</v>
      </c>
      <c r="H95" s="56" t="s">
        <v>177</v>
      </c>
      <c r="I95" s="57"/>
    </row>
    <row r="96" spans="1:9" x14ac:dyDescent="0.3">
      <c r="A96" s="52">
        <v>91</v>
      </c>
      <c r="B96" s="53" t="s">
        <v>128</v>
      </c>
      <c r="C96" s="52" t="s">
        <v>185</v>
      </c>
      <c r="D96" s="52">
        <v>1.962</v>
      </c>
      <c r="E96" s="54">
        <v>4.7619999999999996</v>
      </c>
      <c r="F96" s="55">
        <v>6.7400000000000002E-2</v>
      </c>
      <c r="G96" s="52">
        <v>2.7</v>
      </c>
      <c r="H96" s="56" t="s">
        <v>177</v>
      </c>
      <c r="I96" s="57"/>
    </row>
    <row r="97" spans="1:9" x14ac:dyDescent="0.3">
      <c r="A97" s="52">
        <v>92</v>
      </c>
      <c r="B97" s="53" t="s">
        <v>129</v>
      </c>
      <c r="C97" s="52" t="s">
        <v>185</v>
      </c>
      <c r="D97" s="52">
        <v>1.9</v>
      </c>
      <c r="E97" s="54">
        <v>4.7</v>
      </c>
      <c r="F97" s="55">
        <v>6.6500000000000004E-2</v>
      </c>
      <c r="G97" s="52">
        <v>2.665</v>
      </c>
      <c r="H97" s="56" t="s">
        <v>177</v>
      </c>
      <c r="I97" s="57"/>
    </row>
    <row r="98" spans="1:9" x14ac:dyDescent="0.3">
      <c r="A98" s="52">
        <v>93</v>
      </c>
      <c r="B98" s="53" t="s">
        <v>130</v>
      </c>
      <c r="C98" s="52" t="s">
        <v>185</v>
      </c>
      <c r="D98" s="52">
        <v>1.831</v>
      </c>
      <c r="E98" s="54">
        <v>4.6310000000000002</v>
      </c>
      <c r="F98" s="55">
        <v>6.5500000000000003E-2</v>
      </c>
      <c r="G98" s="52">
        <v>2.6259999999999999</v>
      </c>
      <c r="H98" s="56" t="s">
        <v>177</v>
      </c>
      <c r="I98" s="57"/>
    </row>
    <row r="99" spans="1:9" x14ac:dyDescent="0.3">
      <c r="A99" s="52">
        <v>94</v>
      </c>
      <c r="B99" s="53" t="s">
        <v>131</v>
      </c>
      <c r="C99" s="52" t="s">
        <v>185</v>
      </c>
      <c r="D99" s="52">
        <v>1.756</v>
      </c>
      <c r="E99" s="54">
        <v>4.556</v>
      </c>
      <c r="F99" s="55">
        <v>6.4500000000000002E-2</v>
      </c>
      <c r="G99" s="52">
        <v>2.5830000000000002</v>
      </c>
      <c r="H99" s="56" t="s">
        <v>177</v>
      </c>
      <c r="I99" s="57"/>
    </row>
    <row r="100" spans="1:9" x14ac:dyDescent="0.3">
      <c r="A100" s="52">
        <v>95</v>
      </c>
      <c r="B100" s="53" t="s">
        <v>132</v>
      </c>
      <c r="C100" s="52" t="s">
        <v>185</v>
      </c>
      <c r="D100" s="52">
        <v>1.679</v>
      </c>
      <c r="E100" s="54">
        <v>4.4790000000000001</v>
      </c>
      <c r="F100" s="55">
        <v>6.3399999999999998E-2</v>
      </c>
      <c r="G100" s="52">
        <v>2.54</v>
      </c>
      <c r="H100" s="56" t="s">
        <v>177</v>
      </c>
      <c r="I100" s="57"/>
    </row>
  </sheetData>
  <mergeCells count="3">
    <mergeCell ref="A1:I1"/>
    <mergeCell ref="A2:I2"/>
    <mergeCell ref="A3:I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9B0B9-0A5A-467E-AA24-4D10DA1DB617}">
  <dimension ref="A1:O97"/>
  <sheetViews>
    <sheetView workbookViewId="0">
      <selection sqref="A1:O97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137</v>
      </c>
      <c r="M1" s="1" t="s">
        <v>138</v>
      </c>
      <c r="N1" s="1" t="s">
        <v>139</v>
      </c>
      <c r="O1" s="1" t="s">
        <v>140</v>
      </c>
    </row>
    <row r="2" spans="1:15" x14ac:dyDescent="0.3">
      <c r="A2" s="2">
        <v>46218</v>
      </c>
      <c r="B2" s="40">
        <v>1.0416666666666666E-2</v>
      </c>
      <c r="C2" s="1">
        <v>226.75</v>
      </c>
      <c r="D2" s="1">
        <v>227.01</v>
      </c>
      <c r="E2" s="1">
        <v>228.04</v>
      </c>
      <c r="F2" s="1">
        <v>5.25</v>
      </c>
      <c r="G2" s="1">
        <v>10.220000000000001</v>
      </c>
      <c r="H2" s="1">
        <v>6.21</v>
      </c>
      <c r="I2" s="1">
        <v>-0.84160000000000001</v>
      </c>
      <c r="J2" s="1">
        <v>-0.79910000000000003</v>
      </c>
      <c r="K2" s="1">
        <v>-0.76229999999999998</v>
      </c>
      <c r="L2" s="1">
        <v>1000</v>
      </c>
      <c r="M2" s="1">
        <v>1850</v>
      </c>
      <c r="N2" s="1">
        <v>1080</v>
      </c>
      <c r="O2" s="1">
        <v>3930</v>
      </c>
    </row>
    <row r="3" spans="1:15" x14ac:dyDescent="0.3">
      <c r="A3" s="2">
        <v>46218</v>
      </c>
      <c r="B3" s="40">
        <v>2.0833333333333332E-2</v>
      </c>
      <c r="C3" s="1">
        <v>228.1</v>
      </c>
      <c r="D3" s="1">
        <v>228.4</v>
      </c>
      <c r="E3" s="1">
        <v>229.36</v>
      </c>
      <c r="F3" s="1">
        <v>4.97</v>
      </c>
      <c r="G3" s="1">
        <v>9.86</v>
      </c>
      <c r="H3" s="1">
        <v>6.31</v>
      </c>
      <c r="I3" s="1">
        <v>-0.83589999999999998</v>
      </c>
      <c r="J3" s="1">
        <v>-0.79959999999999998</v>
      </c>
      <c r="K3" s="1">
        <v>-0.76629999999999998</v>
      </c>
      <c r="L3" s="1">
        <v>950</v>
      </c>
      <c r="M3" s="1">
        <v>1800</v>
      </c>
      <c r="N3" s="1">
        <v>1110</v>
      </c>
      <c r="O3" s="1">
        <v>3860</v>
      </c>
    </row>
    <row r="4" spans="1:15" x14ac:dyDescent="0.3">
      <c r="A4" s="2">
        <v>46218</v>
      </c>
      <c r="B4" s="40">
        <v>3.125E-2</v>
      </c>
      <c r="C4" s="1">
        <v>229.84</v>
      </c>
      <c r="D4" s="1">
        <v>230.03</v>
      </c>
      <c r="E4" s="1">
        <v>231</v>
      </c>
      <c r="F4" s="1">
        <v>4.8499999999999996</v>
      </c>
      <c r="G4" s="1">
        <v>9.64</v>
      </c>
      <c r="H4" s="1">
        <v>6.34</v>
      </c>
      <c r="I4" s="1">
        <v>-0.83550000000000002</v>
      </c>
      <c r="J4" s="1">
        <v>-0.80310000000000004</v>
      </c>
      <c r="K4" s="1">
        <v>-0.76880000000000004</v>
      </c>
      <c r="L4" s="1">
        <v>930</v>
      </c>
      <c r="M4" s="1">
        <v>1780</v>
      </c>
      <c r="N4" s="1">
        <v>1130</v>
      </c>
      <c r="O4" s="1">
        <v>3840</v>
      </c>
    </row>
    <row r="5" spans="1:15" x14ac:dyDescent="0.3">
      <c r="A5" s="2">
        <v>46218</v>
      </c>
      <c r="B5" s="40">
        <v>4.1666666666666664E-2</v>
      </c>
      <c r="C5" s="1">
        <v>231.58</v>
      </c>
      <c r="D5" s="1">
        <v>231.87</v>
      </c>
      <c r="E5" s="1">
        <v>232.82</v>
      </c>
      <c r="F5" s="1">
        <v>4.84</v>
      </c>
      <c r="G5" s="1">
        <v>9.1</v>
      </c>
      <c r="H5" s="1">
        <v>6.37</v>
      </c>
      <c r="I5" s="1">
        <v>-0.8337</v>
      </c>
      <c r="J5" s="1">
        <v>-0.79559999999999997</v>
      </c>
      <c r="K5" s="1">
        <v>-0.76890000000000003</v>
      </c>
      <c r="L5" s="1">
        <v>930</v>
      </c>
      <c r="M5" s="1">
        <v>1680</v>
      </c>
      <c r="N5" s="1">
        <v>1140</v>
      </c>
      <c r="O5" s="1">
        <v>3750</v>
      </c>
    </row>
    <row r="6" spans="1:15" x14ac:dyDescent="0.3">
      <c r="A6" s="2">
        <v>46218</v>
      </c>
      <c r="B6" s="40">
        <v>5.2083333333333336E-2</v>
      </c>
      <c r="C6" s="1">
        <v>232.11</v>
      </c>
      <c r="D6" s="1">
        <v>232.46</v>
      </c>
      <c r="E6" s="1">
        <v>233.34</v>
      </c>
      <c r="F6" s="1">
        <v>4.83</v>
      </c>
      <c r="G6" s="1">
        <v>8.9499999999999993</v>
      </c>
      <c r="H6" s="1">
        <v>6.3</v>
      </c>
      <c r="I6" s="1">
        <v>-0.83260000000000001</v>
      </c>
      <c r="J6" s="1">
        <v>-0.79459999999999997</v>
      </c>
      <c r="K6" s="1">
        <v>-0.76819999999999999</v>
      </c>
      <c r="L6" s="1">
        <v>930</v>
      </c>
      <c r="M6" s="1">
        <v>1650</v>
      </c>
      <c r="N6" s="1">
        <v>1130</v>
      </c>
      <c r="O6" s="1">
        <v>3720</v>
      </c>
    </row>
    <row r="7" spans="1:15" x14ac:dyDescent="0.3">
      <c r="A7" s="2">
        <v>46218</v>
      </c>
      <c r="B7" s="40">
        <v>6.25E-2</v>
      </c>
      <c r="C7" s="1">
        <v>231.51</v>
      </c>
      <c r="D7" s="1">
        <v>231.75</v>
      </c>
      <c r="E7" s="1">
        <v>232.78</v>
      </c>
      <c r="F7" s="1">
        <v>4.78</v>
      </c>
      <c r="G7" s="1">
        <v>9.0399999999999991</v>
      </c>
      <c r="H7" s="1">
        <v>6.25</v>
      </c>
      <c r="I7" s="1">
        <v>-0.83079999999999998</v>
      </c>
      <c r="J7" s="1">
        <v>-0.79459999999999997</v>
      </c>
      <c r="K7" s="1">
        <v>-0.76690000000000003</v>
      </c>
      <c r="L7" s="1">
        <v>920</v>
      </c>
      <c r="M7" s="1">
        <v>1660</v>
      </c>
      <c r="N7" s="1">
        <v>1120</v>
      </c>
      <c r="O7" s="1">
        <v>3700</v>
      </c>
    </row>
    <row r="8" spans="1:15" x14ac:dyDescent="0.3">
      <c r="A8" s="2">
        <v>46218</v>
      </c>
      <c r="B8" s="40">
        <v>7.2916666666666671E-2</v>
      </c>
      <c r="C8" s="1">
        <v>231.49</v>
      </c>
      <c r="D8" s="1">
        <v>231.59</v>
      </c>
      <c r="E8" s="1">
        <v>232.72</v>
      </c>
      <c r="F8" s="1">
        <v>4.7699999999999996</v>
      </c>
      <c r="G8" s="1">
        <v>9.0399999999999991</v>
      </c>
      <c r="H8" s="1">
        <v>6.15</v>
      </c>
      <c r="I8" s="1">
        <v>-0.83240000000000003</v>
      </c>
      <c r="J8" s="1">
        <v>-0.79349999999999998</v>
      </c>
      <c r="K8" s="1">
        <v>-0.76539999999999997</v>
      </c>
      <c r="L8" s="1">
        <v>920</v>
      </c>
      <c r="M8" s="1">
        <v>1660</v>
      </c>
      <c r="N8" s="1">
        <v>1100</v>
      </c>
      <c r="O8" s="1">
        <v>3670</v>
      </c>
    </row>
    <row r="9" spans="1:15" x14ac:dyDescent="0.3">
      <c r="A9" s="2">
        <v>46218</v>
      </c>
      <c r="B9" s="40">
        <v>8.3333333333333329E-2</v>
      </c>
      <c r="C9" s="1">
        <v>231.9</v>
      </c>
      <c r="D9" s="1">
        <v>232.02</v>
      </c>
      <c r="E9" s="1">
        <v>233.12</v>
      </c>
      <c r="F9" s="1">
        <v>4.76</v>
      </c>
      <c r="G9" s="1">
        <v>8.81</v>
      </c>
      <c r="H9" s="1">
        <v>6.09</v>
      </c>
      <c r="I9" s="1">
        <v>-0.83260000000000001</v>
      </c>
      <c r="J9" s="1">
        <v>-0.79049999999999998</v>
      </c>
      <c r="K9" s="1">
        <v>-0.76259999999999994</v>
      </c>
      <c r="L9" s="1">
        <v>920</v>
      </c>
      <c r="M9" s="1">
        <v>1620</v>
      </c>
      <c r="N9" s="1">
        <v>1080</v>
      </c>
      <c r="O9" s="1">
        <v>3620</v>
      </c>
    </row>
    <row r="10" spans="1:15" x14ac:dyDescent="0.3">
      <c r="A10" s="2">
        <v>46218</v>
      </c>
      <c r="B10" s="40">
        <v>9.375E-2</v>
      </c>
      <c r="C10" s="1">
        <v>232.11</v>
      </c>
      <c r="D10" s="1">
        <v>232.3</v>
      </c>
      <c r="E10" s="1">
        <v>233.43</v>
      </c>
      <c r="F10" s="1">
        <v>4.75</v>
      </c>
      <c r="G10" s="1">
        <v>8.8800000000000008</v>
      </c>
      <c r="H10" s="1">
        <v>6.08</v>
      </c>
      <c r="I10" s="1">
        <v>-0.83279999999999998</v>
      </c>
      <c r="J10" s="1">
        <v>-0.79359999999999997</v>
      </c>
      <c r="K10" s="1">
        <v>-0.76080000000000003</v>
      </c>
      <c r="L10" s="1">
        <v>920</v>
      </c>
      <c r="M10" s="1">
        <v>1640</v>
      </c>
      <c r="N10" s="1">
        <v>1080</v>
      </c>
      <c r="O10" s="1">
        <v>3630</v>
      </c>
    </row>
    <row r="11" spans="1:15" x14ac:dyDescent="0.3">
      <c r="A11" s="2">
        <v>46218</v>
      </c>
      <c r="B11" s="40">
        <v>0.10416666666666667</v>
      </c>
      <c r="C11" s="1">
        <v>232.59</v>
      </c>
      <c r="D11" s="1">
        <v>232.85</v>
      </c>
      <c r="E11" s="1">
        <v>233.89</v>
      </c>
      <c r="F11" s="1">
        <v>4.7300000000000004</v>
      </c>
      <c r="G11" s="1">
        <v>8.7200000000000006</v>
      </c>
      <c r="H11" s="1">
        <v>6.29</v>
      </c>
      <c r="I11" s="1">
        <v>-0.83379999999999999</v>
      </c>
      <c r="J11" s="1">
        <v>-0.7893</v>
      </c>
      <c r="K11" s="1">
        <v>-0.76380000000000003</v>
      </c>
      <c r="L11" s="1">
        <v>920</v>
      </c>
      <c r="M11" s="1">
        <v>1600</v>
      </c>
      <c r="N11" s="1">
        <v>1120</v>
      </c>
      <c r="O11" s="1">
        <v>3640</v>
      </c>
    </row>
    <row r="12" spans="1:15" x14ac:dyDescent="0.3">
      <c r="A12" s="2">
        <v>46218</v>
      </c>
      <c r="B12" s="40">
        <v>0.11458333333333333</v>
      </c>
      <c r="C12" s="1">
        <v>233.26</v>
      </c>
      <c r="D12" s="1">
        <v>233.55</v>
      </c>
      <c r="E12" s="1">
        <v>234.57</v>
      </c>
      <c r="F12" s="1">
        <v>4.7300000000000004</v>
      </c>
      <c r="G12" s="1">
        <v>8.3000000000000007</v>
      </c>
      <c r="H12" s="1">
        <v>6.2</v>
      </c>
      <c r="I12" s="1">
        <v>-0.83330000000000004</v>
      </c>
      <c r="J12" s="1">
        <v>-0.78139999999999998</v>
      </c>
      <c r="K12" s="1">
        <v>-0.76359999999999995</v>
      </c>
      <c r="L12" s="1">
        <v>920</v>
      </c>
      <c r="M12" s="1">
        <v>1510</v>
      </c>
      <c r="N12" s="1">
        <v>1110</v>
      </c>
      <c r="O12" s="1">
        <v>3550</v>
      </c>
    </row>
    <row r="13" spans="1:15" x14ac:dyDescent="0.3">
      <c r="A13" s="2">
        <v>46218</v>
      </c>
      <c r="B13" s="40">
        <v>0.125</v>
      </c>
      <c r="C13" s="1">
        <v>233.27</v>
      </c>
      <c r="D13" s="1">
        <v>233.48</v>
      </c>
      <c r="E13" s="1">
        <v>234.49</v>
      </c>
      <c r="F13" s="1">
        <v>4.59</v>
      </c>
      <c r="G13" s="1">
        <v>7.92</v>
      </c>
      <c r="H13" s="1">
        <v>5.78</v>
      </c>
      <c r="I13" s="1">
        <v>-0.82</v>
      </c>
      <c r="J13" s="1">
        <v>-0.76539999999999997</v>
      </c>
      <c r="K13" s="1">
        <v>-0.72130000000000005</v>
      </c>
      <c r="L13" s="1">
        <v>880</v>
      </c>
      <c r="M13" s="1">
        <v>1410</v>
      </c>
      <c r="N13" s="1">
        <v>980</v>
      </c>
      <c r="O13" s="1">
        <v>3270</v>
      </c>
    </row>
    <row r="14" spans="1:15" x14ac:dyDescent="0.3">
      <c r="A14" s="2">
        <v>46218</v>
      </c>
      <c r="B14" s="40">
        <v>0.13541666666666666</v>
      </c>
      <c r="C14" s="1">
        <v>233.36</v>
      </c>
      <c r="D14" s="1">
        <v>233.59</v>
      </c>
      <c r="E14" s="1">
        <v>234.62</v>
      </c>
      <c r="F14" s="1">
        <v>4.55</v>
      </c>
      <c r="G14" s="1">
        <v>8.0500000000000007</v>
      </c>
      <c r="H14" s="1">
        <v>5.51</v>
      </c>
      <c r="I14" s="1">
        <v>-0.81369999999999998</v>
      </c>
      <c r="J14" s="1">
        <v>-0.77100000000000002</v>
      </c>
      <c r="K14" s="1">
        <v>-0.69830000000000003</v>
      </c>
      <c r="L14" s="1">
        <v>860</v>
      </c>
      <c r="M14" s="1">
        <v>1450</v>
      </c>
      <c r="N14" s="1">
        <v>900</v>
      </c>
      <c r="O14" s="1">
        <v>3220</v>
      </c>
    </row>
    <row r="15" spans="1:15" x14ac:dyDescent="0.3">
      <c r="A15" s="2">
        <v>46218</v>
      </c>
      <c r="B15" s="40">
        <v>0.14583333333333334</v>
      </c>
      <c r="C15" s="1">
        <v>233.59</v>
      </c>
      <c r="D15" s="1">
        <v>233.86</v>
      </c>
      <c r="E15" s="1">
        <v>234.69</v>
      </c>
      <c r="F15" s="1">
        <v>4.59</v>
      </c>
      <c r="G15" s="1">
        <v>8.14</v>
      </c>
      <c r="H15" s="1">
        <v>5.49</v>
      </c>
      <c r="I15" s="1">
        <v>-0.81469999999999998</v>
      </c>
      <c r="J15" s="1">
        <v>-0.77180000000000004</v>
      </c>
      <c r="K15" s="1">
        <v>-0.69299999999999995</v>
      </c>
      <c r="L15" s="1">
        <v>870</v>
      </c>
      <c r="M15" s="1">
        <v>1470</v>
      </c>
      <c r="N15" s="1">
        <v>890</v>
      </c>
      <c r="O15" s="1">
        <v>3240</v>
      </c>
    </row>
    <row r="16" spans="1:15" x14ac:dyDescent="0.3">
      <c r="A16" s="2">
        <v>46218</v>
      </c>
      <c r="B16" s="40">
        <v>0.15625</v>
      </c>
      <c r="C16" s="1">
        <v>233.65</v>
      </c>
      <c r="D16" s="1">
        <v>233.88</v>
      </c>
      <c r="E16" s="1">
        <v>234.75</v>
      </c>
      <c r="F16" s="1">
        <v>4.5999999999999996</v>
      </c>
      <c r="G16" s="1">
        <v>8.14</v>
      </c>
      <c r="H16" s="1">
        <v>5.5</v>
      </c>
      <c r="I16" s="1">
        <v>-0.81379999999999997</v>
      </c>
      <c r="J16" s="1">
        <v>-0.77049999999999996</v>
      </c>
      <c r="K16" s="1">
        <v>-0.69240000000000002</v>
      </c>
      <c r="L16" s="1">
        <v>880</v>
      </c>
      <c r="M16" s="1">
        <v>1470</v>
      </c>
      <c r="N16" s="1">
        <v>890</v>
      </c>
      <c r="O16" s="1">
        <v>3230</v>
      </c>
    </row>
    <row r="17" spans="1:15" x14ac:dyDescent="0.3">
      <c r="A17" s="2">
        <v>46218</v>
      </c>
      <c r="B17" s="40">
        <v>0.16666666666666666</v>
      </c>
      <c r="C17" s="1">
        <v>233.79</v>
      </c>
      <c r="D17" s="1">
        <v>234.02</v>
      </c>
      <c r="E17" s="1">
        <v>234.98</v>
      </c>
      <c r="F17" s="1">
        <v>3.94</v>
      </c>
      <c r="G17" s="1">
        <v>7.89</v>
      </c>
      <c r="H17" s="1">
        <v>5.49</v>
      </c>
      <c r="I17" s="1">
        <v>-0.83579999999999999</v>
      </c>
      <c r="J17" s="1">
        <v>-0.7631</v>
      </c>
      <c r="K17" s="1">
        <v>-0.69220000000000004</v>
      </c>
      <c r="L17" s="1">
        <v>770</v>
      </c>
      <c r="M17" s="1">
        <v>1410</v>
      </c>
      <c r="N17" s="1">
        <v>890</v>
      </c>
      <c r="O17" s="1">
        <v>3070</v>
      </c>
    </row>
    <row r="18" spans="1:15" x14ac:dyDescent="0.3">
      <c r="A18" s="2">
        <v>46218</v>
      </c>
      <c r="B18" s="40">
        <v>0.17708333333333334</v>
      </c>
      <c r="C18" s="1">
        <v>233.81</v>
      </c>
      <c r="D18" s="1">
        <v>234.01</v>
      </c>
      <c r="E18" s="1">
        <v>234.91</v>
      </c>
      <c r="F18" s="1">
        <v>3.71</v>
      </c>
      <c r="G18" s="1">
        <v>7.71</v>
      </c>
      <c r="H18" s="1">
        <v>5.51</v>
      </c>
      <c r="I18" s="1">
        <v>-0.84309999999999996</v>
      </c>
      <c r="J18" s="1">
        <v>-0.75490000000000002</v>
      </c>
      <c r="K18" s="1">
        <v>-0.69110000000000005</v>
      </c>
      <c r="L18" s="1">
        <v>730</v>
      </c>
      <c r="M18" s="1">
        <v>1360</v>
      </c>
      <c r="N18" s="1">
        <v>890</v>
      </c>
      <c r="O18" s="1">
        <v>2990</v>
      </c>
    </row>
    <row r="19" spans="1:15" x14ac:dyDescent="0.3">
      <c r="A19" s="2">
        <v>46218</v>
      </c>
      <c r="B19" s="40">
        <v>0.1875</v>
      </c>
      <c r="C19" s="1">
        <v>232.99</v>
      </c>
      <c r="D19" s="1">
        <v>233.3</v>
      </c>
      <c r="E19" s="1">
        <v>234.31</v>
      </c>
      <c r="F19" s="1">
        <v>3.73</v>
      </c>
      <c r="G19" s="1">
        <v>7.66</v>
      </c>
      <c r="H19" s="1">
        <v>5.53</v>
      </c>
      <c r="I19" s="1">
        <v>-0.84140000000000004</v>
      </c>
      <c r="J19" s="1">
        <v>-0.75019999999999998</v>
      </c>
      <c r="K19" s="1">
        <v>-0.69169999999999998</v>
      </c>
      <c r="L19" s="1">
        <v>730</v>
      </c>
      <c r="M19" s="1">
        <v>1340</v>
      </c>
      <c r="N19" s="1">
        <v>900</v>
      </c>
      <c r="O19" s="1">
        <v>2970</v>
      </c>
    </row>
    <row r="20" spans="1:15" x14ac:dyDescent="0.3">
      <c r="A20" s="2">
        <v>46218</v>
      </c>
      <c r="B20" s="40">
        <v>0.19791666666666666</v>
      </c>
      <c r="C20" s="1">
        <v>232.18</v>
      </c>
      <c r="D20" s="1">
        <v>232.51</v>
      </c>
      <c r="E20" s="1">
        <v>233.51</v>
      </c>
      <c r="F20" s="1">
        <v>3.65</v>
      </c>
      <c r="G20" s="1">
        <v>7.72</v>
      </c>
      <c r="H20" s="1">
        <v>5.47</v>
      </c>
      <c r="I20" s="1">
        <v>-0.83660000000000001</v>
      </c>
      <c r="J20" s="1">
        <v>-0.74980000000000002</v>
      </c>
      <c r="K20" s="1">
        <v>-0.68259999999999998</v>
      </c>
      <c r="L20" s="1">
        <v>710</v>
      </c>
      <c r="M20" s="1">
        <v>1350</v>
      </c>
      <c r="N20" s="1">
        <v>870</v>
      </c>
      <c r="O20" s="1">
        <v>2930</v>
      </c>
    </row>
    <row r="21" spans="1:15" x14ac:dyDescent="0.3">
      <c r="A21" s="2">
        <v>46218</v>
      </c>
      <c r="B21" s="40">
        <v>0.20833333333333334</v>
      </c>
      <c r="C21" s="1">
        <v>230.83</v>
      </c>
      <c r="D21" s="1">
        <v>231.17</v>
      </c>
      <c r="E21" s="1">
        <v>232.27</v>
      </c>
      <c r="F21" s="1">
        <v>3.58</v>
      </c>
      <c r="G21" s="1">
        <v>7.75</v>
      </c>
      <c r="H21" s="1">
        <v>5.38</v>
      </c>
      <c r="I21" s="1">
        <v>-0.82509999999999994</v>
      </c>
      <c r="J21" s="1">
        <v>-0.74960000000000004</v>
      </c>
      <c r="K21" s="1">
        <v>-0.66290000000000004</v>
      </c>
      <c r="L21" s="1">
        <v>680</v>
      </c>
      <c r="M21" s="1">
        <v>1340</v>
      </c>
      <c r="N21" s="1">
        <v>830</v>
      </c>
      <c r="O21" s="1">
        <v>2850</v>
      </c>
    </row>
    <row r="22" spans="1:15" x14ac:dyDescent="0.3">
      <c r="A22" s="2">
        <v>46218</v>
      </c>
      <c r="B22" s="40">
        <v>0.21875</v>
      </c>
      <c r="C22" s="1">
        <v>229.24</v>
      </c>
      <c r="D22" s="1">
        <v>229.5</v>
      </c>
      <c r="E22" s="1">
        <v>230.65</v>
      </c>
      <c r="F22" s="1">
        <v>3.6</v>
      </c>
      <c r="G22" s="1">
        <v>7.69</v>
      </c>
      <c r="H22" s="1">
        <v>5.42</v>
      </c>
      <c r="I22" s="1">
        <v>-0.82350000000000001</v>
      </c>
      <c r="J22" s="1">
        <v>-0.74529999999999996</v>
      </c>
      <c r="K22" s="1">
        <v>-0.66590000000000005</v>
      </c>
      <c r="L22" s="1">
        <v>680</v>
      </c>
      <c r="M22" s="1">
        <v>1320</v>
      </c>
      <c r="N22" s="1">
        <v>830</v>
      </c>
      <c r="O22" s="1">
        <v>2830</v>
      </c>
    </row>
    <row r="23" spans="1:15" x14ac:dyDescent="0.3">
      <c r="A23" s="2">
        <v>46218</v>
      </c>
      <c r="B23" s="40">
        <v>0.22916666666666666</v>
      </c>
      <c r="C23" s="1">
        <v>227.98</v>
      </c>
      <c r="D23" s="1">
        <v>228.19</v>
      </c>
      <c r="E23" s="1">
        <v>229.26</v>
      </c>
      <c r="F23" s="1">
        <v>3.62</v>
      </c>
      <c r="G23" s="1">
        <v>7.71</v>
      </c>
      <c r="H23" s="1">
        <v>5.45</v>
      </c>
      <c r="I23" s="1">
        <v>-0.82169999999999999</v>
      </c>
      <c r="J23" s="1">
        <v>-0.74180000000000001</v>
      </c>
      <c r="K23" s="1">
        <v>-0.66479999999999995</v>
      </c>
      <c r="L23" s="1">
        <v>680</v>
      </c>
      <c r="M23" s="1">
        <v>1310</v>
      </c>
      <c r="N23" s="1">
        <v>830</v>
      </c>
      <c r="O23" s="1">
        <v>2810</v>
      </c>
    </row>
    <row r="24" spans="1:15" x14ac:dyDescent="0.3">
      <c r="A24" s="2">
        <v>46218</v>
      </c>
      <c r="B24" s="40">
        <v>0.23958333333333334</v>
      </c>
      <c r="C24" s="1">
        <v>228.24</v>
      </c>
      <c r="D24" s="1">
        <v>228.48</v>
      </c>
      <c r="E24" s="1">
        <v>229.66</v>
      </c>
      <c r="F24" s="1">
        <v>3.65</v>
      </c>
      <c r="G24" s="1">
        <v>7.72</v>
      </c>
      <c r="H24" s="1">
        <v>5.46</v>
      </c>
      <c r="I24" s="1">
        <v>-0.81940000000000002</v>
      </c>
      <c r="J24" s="1">
        <v>-0.7419</v>
      </c>
      <c r="K24" s="1">
        <v>-0.66300000000000003</v>
      </c>
      <c r="L24" s="1">
        <v>680</v>
      </c>
      <c r="M24" s="1">
        <v>1310</v>
      </c>
      <c r="N24" s="1">
        <v>830</v>
      </c>
      <c r="O24" s="1">
        <v>2820</v>
      </c>
    </row>
    <row r="25" spans="1:15" x14ac:dyDescent="0.3">
      <c r="A25" s="2">
        <v>46218</v>
      </c>
      <c r="B25" s="40">
        <v>0.25</v>
      </c>
      <c r="C25" s="1">
        <v>227.83</v>
      </c>
      <c r="D25" s="1">
        <v>228.32</v>
      </c>
      <c r="E25" s="1">
        <v>229.38</v>
      </c>
      <c r="F25" s="1">
        <v>3.68</v>
      </c>
      <c r="G25" s="1">
        <v>7.68</v>
      </c>
      <c r="H25" s="1">
        <v>5.47</v>
      </c>
      <c r="I25" s="1">
        <v>-0.81830000000000003</v>
      </c>
      <c r="J25" s="1">
        <v>-0.74150000000000005</v>
      </c>
      <c r="K25" s="1">
        <v>-0.6633</v>
      </c>
      <c r="L25" s="1">
        <v>690</v>
      </c>
      <c r="M25" s="1">
        <v>1300</v>
      </c>
      <c r="N25" s="1">
        <v>830</v>
      </c>
      <c r="O25" s="1">
        <v>2820</v>
      </c>
    </row>
    <row r="26" spans="1:15" x14ac:dyDescent="0.3">
      <c r="A26" s="2">
        <v>46218</v>
      </c>
      <c r="B26" s="40">
        <v>0.26041666666666669</v>
      </c>
      <c r="C26" s="1">
        <v>230.13</v>
      </c>
      <c r="D26" s="1">
        <v>230.66</v>
      </c>
      <c r="E26" s="1">
        <v>231.71</v>
      </c>
      <c r="F26" s="1">
        <v>3.69</v>
      </c>
      <c r="G26" s="1">
        <v>7.72</v>
      </c>
      <c r="H26" s="1">
        <v>5.47</v>
      </c>
      <c r="I26" s="1">
        <v>-0.81369999999999998</v>
      </c>
      <c r="J26" s="1">
        <v>-0.73650000000000004</v>
      </c>
      <c r="K26" s="1">
        <v>-0.65590000000000004</v>
      </c>
      <c r="L26" s="1">
        <v>690</v>
      </c>
      <c r="M26" s="1">
        <v>1310</v>
      </c>
      <c r="N26" s="1">
        <v>830</v>
      </c>
      <c r="O26" s="1">
        <v>2830</v>
      </c>
    </row>
    <row r="27" spans="1:15" x14ac:dyDescent="0.3">
      <c r="A27" s="2">
        <v>46218</v>
      </c>
      <c r="B27" s="40">
        <v>0.27083333333333331</v>
      </c>
      <c r="C27" s="1">
        <v>233.81</v>
      </c>
      <c r="D27" s="1">
        <v>234.56</v>
      </c>
      <c r="E27" s="1">
        <v>235.3</v>
      </c>
      <c r="F27" s="1">
        <v>3.65</v>
      </c>
      <c r="G27" s="1">
        <v>6.53</v>
      </c>
      <c r="H27" s="1">
        <v>4.34</v>
      </c>
      <c r="I27" s="1">
        <v>-0.81210000000000004</v>
      </c>
      <c r="J27" s="1">
        <v>-0.7319</v>
      </c>
      <c r="K27" s="1">
        <v>-0.65590000000000004</v>
      </c>
      <c r="L27" s="1">
        <v>690</v>
      </c>
      <c r="M27" s="1">
        <v>1110</v>
      </c>
      <c r="N27" s="1">
        <v>660</v>
      </c>
      <c r="O27" s="1">
        <v>2460</v>
      </c>
    </row>
    <row r="28" spans="1:15" x14ac:dyDescent="0.3">
      <c r="A28" s="2">
        <v>46218</v>
      </c>
      <c r="B28" s="40">
        <v>0.28125</v>
      </c>
      <c r="C28" s="1">
        <v>233.2</v>
      </c>
      <c r="D28" s="1">
        <v>234.07</v>
      </c>
      <c r="E28" s="1">
        <v>234.74</v>
      </c>
      <c r="F28" s="1">
        <v>3.59</v>
      </c>
      <c r="G28" s="1">
        <v>5.78</v>
      </c>
      <c r="H28" s="1">
        <v>3.66</v>
      </c>
      <c r="I28" s="1">
        <v>-0.81559999999999999</v>
      </c>
      <c r="J28" s="1">
        <v>-0.73429999999999995</v>
      </c>
      <c r="K28" s="1">
        <v>-0.66310000000000002</v>
      </c>
      <c r="L28" s="1">
        <v>680</v>
      </c>
      <c r="M28" s="1">
        <v>990</v>
      </c>
      <c r="N28" s="1">
        <v>570</v>
      </c>
      <c r="O28" s="1">
        <v>2250</v>
      </c>
    </row>
    <row r="29" spans="1:15" x14ac:dyDescent="0.3">
      <c r="A29" s="2">
        <v>46218</v>
      </c>
      <c r="B29" s="40">
        <v>0.29166666666666669</v>
      </c>
      <c r="C29" s="1">
        <v>234.48</v>
      </c>
      <c r="D29" s="1">
        <v>235.11</v>
      </c>
      <c r="E29" s="1">
        <v>235.99</v>
      </c>
      <c r="F29" s="1">
        <v>3.61</v>
      </c>
      <c r="G29" s="1">
        <v>5.77</v>
      </c>
      <c r="H29" s="1">
        <v>3.63</v>
      </c>
      <c r="I29" s="1">
        <v>-0.81410000000000005</v>
      </c>
      <c r="J29" s="1">
        <v>-0.73340000000000005</v>
      </c>
      <c r="K29" s="1">
        <v>-0.66310000000000002</v>
      </c>
      <c r="L29" s="1">
        <v>690</v>
      </c>
      <c r="M29" s="1">
        <v>1000</v>
      </c>
      <c r="N29" s="1">
        <v>570</v>
      </c>
      <c r="O29" s="1">
        <v>2250</v>
      </c>
    </row>
    <row r="30" spans="1:15" x14ac:dyDescent="0.3">
      <c r="A30" s="2">
        <v>46218</v>
      </c>
      <c r="B30" s="40">
        <v>0.30208333333333331</v>
      </c>
      <c r="C30" s="1">
        <v>234.04</v>
      </c>
      <c r="D30" s="1">
        <v>234.51</v>
      </c>
      <c r="E30" s="1">
        <v>235.54</v>
      </c>
      <c r="F30" s="1">
        <v>3.42</v>
      </c>
      <c r="G30" s="1">
        <v>3.92</v>
      </c>
      <c r="H30" s="1">
        <v>2.5</v>
      </c>
      <c r="I30" s="1">
        <v>-0.81899999999999995</v>
      </c>
      <c r="J30" s="1">
        <v>-0.87319999999999998</v>
      </c>
      <c r="K30" s="1">
        <v>0</v>
      </c>
      <c r="L30" s="1">
        <v>650</v>
      </c>
      <c r="M30" s="1">
        <v>660</v>
      </c>
      <c r="N30" s="1">
        <v>270</v>
      </c>
      <c r="O30" s="1">
        <v>1580</v>
      </c>
    </row>
    <row r="31" spans="1:15" x14ac:dyDescent="0.3">
      <c r="A31" s="2">
        <v>46218</v>
      </c>
      <c r="B31" s="40">
        <v>0.3125</v>
      </c>
      <c r="C31" s="1">
        <v>232.8</v>
      </c>
      <c r="D31" s="1">
        <v>233.33</v>
      </c>
      <c r="E31" s="1">
        <v>234.51</v>
      </c>
      <c r="F31" s="1">
        <v>3.31</v>
      </c>
      <c r="G31" s="1">
        <v>0.73</v>
      </c>
      <c r="H31" s="1">
        <v>0</v>
      </c>
      <c r="I31" s="1">
        <v>-0.8206</v>
      </c>
      <c r="J31" s="1">
        <v>-0.98619999999999997</v>
      </c>
      <c r="K31" s="1">
        <v>0</v>
      </c>
      <c r="L31" s="1">
        <v>630</v>
      </c>
      <c r="M31" s="1">
        <v>440</v>
      </c>
      <c r="N31" s="1">
        <v>0</v>
      </c>
      <c r="O31" s="1">
        <v>1070</v>
      </c>
    </row>
    <row r="32" spans="1:15" x14ac:dyDescent="0.3">
      <c r="A32" s="2">
        <v>46218</v>
      </c>
      <c r="B32" s="40">
        <v>0.32291666666666669</v>
      </c>
      <c r="C32" s="1">
        <v>232.94</v>
      </c>
      <c r="D32" s="1">
        <v>233.53</v>
      </c>
      <c r="E32" s="1">
        <v>234.64</v>
      </c>
      <c r="F32" s="1">
        <v>3.3</v>
      </c>
      <c r="G32" s="1">
        <v>1.5</v>
      </c>
      <c r="H32" s="1">
        <v>0</v>
      </c>
      <c r="I32" s="1">
        <v>-0.8216</v>
      </c>
      <c r="J32" s="1">
        <v>-0.94230000000000003</v>
      </c>
      <c r="K32" s="1">
        <v>0</v>
      </c>
      <c r="L32" s="1">
        <v>630</v>
      </c>
      <c r="M32" s="1">
        <v>480</v>
      </c>
      <c r="N32" s="1">
        <v>0</v>
      </c>
      <c r="O32" s="1">
        <v>1110</v>
      </c>
    </row>
    <row r="33" spans="1:15" x14ac:dyDescent="0.3">
      <c r="A33" s="2">
        <v>46218</v>
      </c>
      <c r="B33" s="40">
        <v>0.33333333333333331</v>
      </c>
      <c r="C33" s="1">
        <v>232.07</v>
      </c>
      <c r="D33" s="1">
        <v>232.49</v>
      </c>
      <c r="E33" s="1">
        <v>233.77</v>
      </c>
      <c r="F33" s="1">
        <v>5.0599999999999996</v>
      </c>
      <c r="G33" s="1">
        <v>9.14</v>
      </c>
      <c r="H33" s="1">
        <v>0</v>
      </c>
      <c r="I33" s="1">
        <v>-0.86709999999999998</v>
      </c>
      <c r="J33" s="1">
        <v>-0.95579999999999998</v>
      </c>
      <c r="K33" s="1">
        <v>0</v>
      </c>
      <c r="L33" s="1">
        <v>1010</v>
      </c>
      <c r="M33" s="1">
        <v>1990</v>
      </c>
      <c r="N33" s="1">
        <v>0</v>
      </c>
      <c r="O33" s="1">
        <v>3000</v>
      </c>
    </row>
    <row r="34" spans="1:15" x14ac:dyDescent="0.3">
      <c r="A34" s="2">
        <v>46218</v>
      </c>
      <c r="B34" s="40">
        <v>0.34375</v>
      </c>
      <c r="C34" s="1">
        <v>229.91</v>
      </c>
      <c r="D34" s="1">
        <v>230.64</v>
      </c>
      <c r="E34" s="1">
        <v>231.9</v>
      </c>
      <c r="F34" s="1">
        <v>5.99</v>
      </c>
      <c r="G34" s="1">
        <v>6.1</v>
      </c>
      <c r="H34" s="1">
        <v>2.33</v>
      </c>
      <c r="I34" s="1">
        <v>-0.8659</v>
      </c>
      <c r="J34" s="1">
        <v>-0.89300000000000002</v>
      </c>
      <c r="K34" s="1">
        <v>0</v>
      </c>
      <c r="L34" s="1">
        <v>1190</v>
      </c>
      <c r="M34" s="1">
        <v>1190</v>
      </c>
      <c r="N34" s="1">
        <v>310</v>
      </c>
      <c r="O34" s="1">
        <v>2690</v>
      </c>
    </row>
    <row r="35" spans="1:15" x14ac:dyDescent="0.3">
      <c r="A35" s="2">
        <v>46218</v>
      </c>
      <c r="B35" s="40">
        <v>0.35416666666666669</v>
      </c>
      <c r="C35" s="1">
        <v>228.5</v>
      </c>
      <c r="D35" s="1">
        <v>229.53</v>
      </c>
      <c r="E35" s="1">
        <v>230.81</v>
      </c>
      <c r="F35" s="1">
        <v>6.08</v>
      </c>
      <c r="G35" s="1">
        <v>4.92</v>
      </c>
      <c r="H35" s="1">
        <v>2.87</v>
      </c>
      <c r="I35" s="1">
        <v>-0.85970000000000002</v>
      </c>
      <c r="J35" s="1">
        <v>-0.88929999999999998</v>
      </c>
      <c r="K35" s="1">
        <v>-0.73219999999999996</v>
      </c>
      <c r="L35" s="1">
        <v>1190</v>
      </c>
      <c r="M35" s="1">
        <v>1000</v>
      </c>
      <c r="N35" s="1">
        <v>480</v>
      </c>
      <c r="O35" s="1">
        <v>2680</v>
      </c>
    </row>
    <row r="36" spans="1:15" x14ac:dyDescent="0.3">
      <c r="A36" s="2">
        <v>46218</v>
      </c>
      <c r="B36" s="40">
        <v>0.36458333333333331</v>
      </c>
      <c r="C36" s="1">
        <v>228.39</v>
      </c>
      <c r="D36" s="1">
        <v>229.52</v>
      </c>
      <c r="E36" s="1">
        <v>230.82</v>
      </c>
      <c r="F36" s="1">
        <v>6.77</v>
      </c>
      <c r="G36" s="1">
        <v>5.76</v>
      </c>
      <c r="H36" s="1">
        <v>3.23</v>
      </c>
      <c r="I36" s="1">
        <v>-0.86080000000000001</v>
      </c>
      <c r="J36" s="1">
        <v>-0.89100000000000001</v>
      </c>
      <c r="K36" s="1">
        <v>-0.7752</v>
      </c>
      <c r="L36" s="1">
        <v>1300</v>
      </c>
      <c r="M36" s="1">
        <v>1150</v>
      </c>
      <c r="N36" s="1">
        <v>580</v>
      </c>
      <c r="O36" s="1">
        <v>3040</v>
      </c>
    </row>
    <row r="37" spans="1:15" x14ac:dyDescent="0.3">
      <c r="A37" s="2">
        <v>46218</v>
      </c>
      <c r="B37" s="40">
        <v>0.375</v>
      </c>
      <c r="C37" s="1">
        <v>227.38</v>
      </c>
      <c r="D37" s="1">
        <v>228.66</v>
      </c>
      <c r="E37" s="1">
        <v>230.24</v>
      </c>
      <c r="F37" s="1">
        <v>13.7</v>
      </c>
      <c r="G37" s="1">
        <v>9.09</v>
      </c>
      <c r="H37" s="1">
        <v>4.3600000000000003</v>
      </c>
      <c r="I37" s="1">
        <v>-0.90439999999999998</v>
      </c>
      <c r="J37" s="1">
        <v>-0.8911</v>
      </c>
      <c r="K37" s="1">
        <v>-0.84940000000000004</v>
      </c>
      <c r="L37" s="1">
        <v>2750</v>
      </c>
      <c r="M37" s="1">
        <v>1850</v>
      </c>
      <c r="N37" s="1">
        <v>840</v>
      </c>
      <c r="O37" s="1">
        <v>5430</v>
      </c>
    </row>
    <row r="38" spans="1:15" x14ac:dyDescent="0.3">
      <c r="A38" s="2">
        <v>46218</v>
      </c>
      <c r="B38" s="40">
        <v>0.38541666666666669</v>
      </c>
      <c r="C38" s="1">
        <v>228.84</v>
      </c>
      <c r="D38" s="1">
        <v>229.85</v>
      </c>
      <c r="E38" s="1">
        <v>231.34</v>
      </c>
      <c r="F38" s="1">
        <v>9.7899999999999991</v>
      </c>
      <c r="G38" s="1">
        <v>8.92</v>
      </c>
      <c r="H38" s="1">
        <v>4.53</v>
      </c>
      <c r="I38" s="1">
        <v>-0.85929999999999995</v>
      </c>
      <c r="J38" s="1">
        <v>-0.8891</v>
      </c>
      <c r="K38" s="1">
        <v>-0.87409999999999999</v>
      </c>
      <c r="L38" s="1">
        <v>1910</v>
      </c>
      <c r="M38" s="1">
        <v>1820</v>
      </c>
      <c r="N38" s="1">
        <v>920</v>
      </c>
      <c r="O38" s="1">
        <v>4650</v>
      </c>
    </row>
    <row r="39" spans="1:15" x14ac:dyDescent="0.3">
      <c r="A39" s="2">
        <v>46218</v>
      </c>
      <c r="B39" s="40">
        <v>0.39583333333333331</v>
      </c>
      <c r="C39" s="1">
        <v>229.85</v>
      </c>
      <c r="D39" s="1">
        <v>230.92</v>
      </c>
      <c r="E39" s="1">
        <v>232.37</v>
      </c>
      <c r="F39" s="1">
        <v>10.1</v>
      </c>
      <c r="G39" s="1">
        <v>9.32</v>
      </c>
      <c r="H39" s="1">
        <v>4.75</v>
      </c>
      <c r="I39" s="1">
        <v>-0.87239999999999995</v>
      </c>
      <c r="J39" s="1">
        <v>-0.89170000000000005</v>
      </c>
      <c r="K39" s="1">
        <v>-0.87309999999999999</v>
      </c>
      <c r="L39" s="1">
        <v>2020</v>
      </c>
      <c r="M39" s="1">
        <v>1910</v>
      </c>
      <c r="N39" s="1">
        <v>930</v>
      </c>
      <c r="O39" s="1">
        <v>4860</v>
      </c>
    </row>
    <row r="40" spans="1:15" x14ac:dyDescent="0.3">
      <c r="A40" s="2">
        <v>46218</v>
      </c>
      <c r="B40" s="40">
        <v>0.40625</v>
      </c>
      <c r="C40" s="1">
        <v>231.14</v>
      </c>
      <c r="D40" s="1">
        <v>232.13</v>
      </c>
      <c r="E40" s="1">
        <v>233.86</v>
      </c>
      <c r="F40" s="1">
        <v>10.18</v>
      </c>
      <c r="G40" s="1">
        <v>9.31</v>
      </c>
      <c r="H40" s="1">
        <v>4.74</v>
      </c>
      <c r="I40" s="1">
        <v>-0.87129999999999996</v>
      </c>
      <c r="J40" s="1">
        <v>-0.8891</v>
      </c>
      <c r="K40" s="1">
        <v>-0.87960000000000005</v>
      </c>
      <c r="L40" s="1">
        <v>2040</v>
      </c>
      <c r="M40" s="1">
        <v>1910</v>
      </c>
      <c r="N40" s="1">
        <v>950</v>
      </c>
      <c r="O40" s="1">
        <v>4900</v>
      </c>
    </row>
    <row r="41" spans="1:15" x14ac:dyDescent="0.3">
      <c r="A41" s="2">
        <v>46218</v>
      </c>
      <c r="B41" s="40">
        <v>0.41666666666666669</v>
      </c>
      <c r="C41" s="1">
        <v>231.93</v>
      </c>
      <c r="D41" s="1">
        <v>232.87</v>
      </c>
      <c r="E41" s="1">
        <v>234.63</v>
      </c>
      <c r="F41" s="1">
        <v>9.8000000000000007</v>
      </c>
      <c r="G41" s="1">
        <v>9.41</v>
      </c>
      <c r="H41" s="1">
        <v>4.28</v>
      </c>
      <c r="I41" s="1">
        <v>-0.86480000000000001</v>
      </c>
      <c r="J41" s="1">
        <v>-0.89170000000000005</v>
      </c>
      <c r="K41" s="1">
        <v>-0.90200000000000002</v>
      </c>
      <c r="L41" s="1">
        <v>1970</v>
      </c>
      <c r="M41" s="1">
        <v>1950</v>
      </c>
      <c r="N41" s="1">
        <v>910</v>
      </c>
      <c r="O41" s="1">
        <v>4820</v>
      </c>
    </row>
    <row r="42" spans="1:15" x14ac:dyDescent="0.3">
      <c r="A42" s="2">
        <v>46218</v>
      </c>
      <c r="B42" s="40">
        <v>0.42708333333333331</v>
      </c>
      <c r="C42" s="1">
        <v>232.13</v>
      </c>
      <c r="D42" s="1">
        <v>232.97</v>
      </c>
      <c r="E42" s="1">
        <v>234.74</v>
      </c>
      <c r="F42" s="1">
        <v>10.3</v>
      </c>
      <c r="G42" s="1">
        <v>10</v>
      </c>
      <c r="H42" s="1">
        <v>4.51</v>
      </c>
      <c r="I42" s="1">
        <v>-0.8629</v>
      </c>
      <c r="J42" s="1">
        <v>-0.90329999999999999</v>
      </c>
      <c r="K42" s="1">
        <v>-0.90310000000000001</v>
      </c>
      <c r="L42" s="1">
        <v>2060</v>
      </c>
      <c r="M42" s="1">
        <v>2100</v>
      </c>
      <c r="N42" s="1">
        <v>950</v>
      </c>
      <c r="O42" s="1">
        <v>5120</v>
      </c>
    </row>
    <row r="43" spans="1:15" x14ac:dyDescent="0.3">
      <c r="A43" s="2">
        <v>46218</v>
      </c>
      <c r="B43" s="40">
        <v>0.4375</v>
      </c>
      <c r="C43" s="1">
        <v>231.74</v>
      </c>
      <c r="D43" s="1">
        <v>232.58</v>
      </c>
      <c r="E43" s="1">
        <v>234.37</v>
      </c>
      <c r="F43" s="1">
        <v>10.73</v>
      </c>
      <c r="G43" s="1">
        <v>10.16</v>
      </c>
      <c r="H43" s="1">
        <v>5.19</v>
      </c>
      <c r="I43" s="1">
        <v>-0.86719999999999997</v>
      </c>
      <c r="J43" s="1">
        <v>-0.89639999999999997</v>
      </c>
      <c r="K43" s="1">
        <v>-0.90549999999999997</v>
      </c>
      <c r="L43" s="1">
        <v>2160</v>
      </c>
      <c r="M43" s="1">
        <v>2120</v>
      </c>
      <c r="N43" s="1">
        <v>1100</v>
      </c>
      <c r="O43" s="1">
        <v>5370</v>
      </c>
    </row>
    <row r="44" spans="1:15" x14ac:dyDescent="0.3">
      <c r="A44" s="2">
        <v>46217</v>
      </c>
      <c r="B44" s="40">
        <v>0.44791666666666669</v>
      </c>
      <c r="C44" s="1">
        <v>228.77</v>
      </c>
      <c r="D44" s="1">
        <v>229.85</v>
      </c>
      <c r="E44" s="1">
        <v>231.78</v>
      </c>
      <c r="F44" s="1">
        <v>12.15</v>
      </c>
      <c r="G44" s="1">
        <v>13.77</v>
      </c>
      <c r="H44" s="1">
        <v>4.28</v>
      </c>
      <c r="I44" s="1">
        <v>-0.88929999999999998</v>
      </c>
      <c r="J44" s="1">
        <v>-0.93400000000000005</v>
      </c>
      <c r="K44" s="1">
        <v>-0.92689999999999995</v>
      </c>
      <c r="L44" s="1">
        <v>2420</v>
      </c>
      <c r="M44" s="1">
        <v>2910</v>
      </c>
      <c r="N44" s="1">
        <v>900</v>
      </c>
      <c r="O44" s="1">
        <v>6230</v>
      </c>
    </row>
    <row r="45" spans="1:15" x14ac:dyDescent="0.3">
      <c r="A45" s="2">
        <v>46217</v>
      </c>
      <c r="B45" s="40">
        <v>0.45833333333333331</v>
      </c>
      <c r="C45" s="1">
        <v>228.95</v>
      </c>
      <c r="D45" s="1">
        <v>230.2</v>
      </c>
      <c r="E45" s="1">
        <v>232.22</v>
      </c>
      <c r="F45" s="1">
        <v>10.74</v>
      </c>
      <c r="G45" s="1">
        <v>10.85</v>
      </c>
      <c r="H45" s="1">
        <v>4.1100000000000003</v>
      </c>
      <c r="I45" s="1">
        <v>-0.87439999999999996</v>
      </c>
      <c r="J45" s="1">
        <v>-0.9103</v>
      </c>
      <c r="K45" s="1">
        <v>-0.92710000000000004</v>
      </c>
      <c r="L45" s="1">
        <v>2150</v>
      </c>
      <c r="M45" s="1">
        <v>2260</v>
      </c>
      <c r="N45" s="1">
        <v>870</v>
      </c>
      <c r="O45" s="1">
        <v>5280</v>
      </c>
    </row>
    <row r="46" spans="1:15" x14ac:dyDescent="0.3">
      <c r="A46" s="2">
        <v>46217</v>
      </c>
      <c r="B46" s="40">
        <v>0.46875</v>
      </c>
      <c r="C46" s="1">
        <v>229.39</v>
      </c>
      <c r="D46" s="1">
        <v>230.67</v>
      </c>
      <c r="E46" s="1">
        <v>232.65</v>
      </c>
      <c r="F46" s="1">
        <v>10.68</v>
      </c>
      <c r="G46" s="1">
        <v>10.88</v>
      </c>
      <c r="H46" s="1">
        <v>4.51</v>
      </c>
      <c r="I46" s="1">
        <v>-0.87439999999999996</v>
      </c>
      <c r="J46" s="1">
        <v>-0.91690000000000005</v>
      </c>
      <c r="K46" s="1">
        <v>-0.90959999999999996</v>
      </c>
      <c r="L46" s="1">
        <v>2140</v>
      </c>
      <c r="M46" s="1">
        <v>2300</v>
      </c>
      <c r="N46" s="1">
        <v>950</v>
      </c>
      <c r="O46" s="1">
        <v>5390</v>
      </c>
    </row>
    <row r="47" spans="1:15" x14ac:dyDescent="0.3">
      <c r="A47" s="2">
        <v>46217</v>
      </c>
      <c r="B47" s="40">
        <v>0.47916666666666669</v>
      </c>
      <c r="C47" s="1">
        <v>228.3</v>
      </c>
      <c r="D47" s="1">
        <v>229.42</v>
      </c>
      <c r="E47" s="1">
        <v>231.24</v>
      </c>
      <c r="F47" s="1">
        <v>10.83</v>
      </c>
      <c r="G47" s="1">
        <v>11.28</v>
      </c>
      <c r="H47" s="1">
        <v>5.01</v>
      </c>
      <c r="I47" s="1">
        <v>-0.87239999999999995</v>
      </c>
      <c r="J47" s="1">
        <v>-0.91959999999999997</v>
      </c>
      <c r="K47" s="1">
        <v>-0.91549999999999998</v>
      </c>
      <c r="L47" s="1">
        <v>2150</v>
      </c>
      <c r="M47" s="1">
        <v>2370</v>
      </c>
      <c r="N47" s="1">
        <v>1020</v>
      </c>
      <c r="O47" s="1">
        <v>5540</v>
      </c>
    </row>
    <row r="48" spans="1:15" x14ac:dyDescent="0.3">
      <c r="A48" s="2">
        <v>46217</v>
      </c>
      <c r="B48" s="40">
        <v>0.48958333333333331</v>
      </c>
      <c r="C48" s="1">
        <v>228.76</v>
      </c>
      <c r="D48" s="1">
        <v>229.89</v>
      </c>
      <c r="E48" s="1">
        <v>231.93</v>
      </c>
      <c r="F48" s="1">
        <v>10.41</v>
      </c>
      <c r="G48" s="1">
        <v>10.88</v>
      </c>
      <c r="H48" s="1">
        <v>4.5</v>
      </c>
      <c r="I48" s="1">
        <v>-0.86850000000000005</v>
      </c>
      <c r="J48" s="1">
        <v>-0.91700000000000004</v>
      </c>
      <c r="K48" s="1">
        <v>-0.9133</v>
      </c>
      <c r="L48" s="1">
        <v>2070</v>
      </c>
      <c r="M48" s="1">
        <v>2290</v>
      </c>
      <c r="N48" s="1">
        <v>950</v>
      </c>
      <c r="O48" s="1">
        <v>5310</v>
      </c>
    </row>
    <row r="49" spans="1:15" x14ac:dyDescent="0.3">
      <c r="A49" s="2">
        <v>46217</v>
      </c>
      <c r="B49" s="40">
        <v>0.5</v>
      </c>
      <c r="C49" s="1">
        <v>229.42</v>
      </c>
      <c r="D49" s="1">
        <v>230.54</v>
      </c>
      <c r="E49" s="1">
        <v>232.65</v>
      </c>
      <c r="F49" s="1">
        <v>10.47</v>
      </c>
      <c r="G49" s="1">
        <v>11.37</v>
      </c>
      <c r="H49" s="1">
        <v>4.97</v>
      </c>
      <c r="I49" s="1">
        <v>-0.86739999999999995</v>
      </c>
      <c r="J49" s="1">
        <v>-0.90680000000000005</v>
      </c>
      <c r="K49" s="1">
        <v>-0.91039999999999999</v>
      </c>
      <c r="L49" s="1">
        <v>2080</v>
      </c>
      <c r="M49" s="1">
        <v>2380</v>
      </c>
      <c r="N49" s="1">
        <v>1050</v>
      </c>
      <c r="O49" s="1">
        <v>5510</v>
      </c>
    </row>
    <row r="50" spans="1:15" x14ac:dyDescent="0.3">
      <c r="A50" s="2">
        <v>46217</v>
      </c>
      <c r="B50" s="40">
        <v>0.51041666666666663</v>
      </c>
      <c r="C50" s="1">
        <v>230.67</v>
      </c>
      <c r="D50" s="1">
        <v>231.81</v>
      </c>
      <c r="E50" s="1">
        <v>233.88</v>
      </c>
      <c r="F50" s="1">
        <v>10.77</v>
      </c>
      <c r="G50" s="1">
        <v>10.97</v>
      </c>
      <c r="H50" s="1">
        <v>4.9400000000000004</v>
      </c>
      <c r="I50" s="1">
        <v>-0.86980000000000002</v>
      </c>
      <c r="J50" s="1">
        <v>-0.91180000000000005</v>
      </c>
      <c r="K50" s="1">
        <v>-0.91290000000000004</v>
      </c>
      <c r="L50" s="1">
        <v>2160</v>
      </c>
      <c r="M50" s="1">
        <v>2320</v>
      </c>
      <c r="N50" s="1">
        <v>1050</v>
      </c>
      <c r="O50" s="1">
        <v>5530</v>
      </c>
    </row>
    <row r="51" spans="1:15" x14ac:dyDescent="0.3">
      <c r="A51" s="2">
        <v>46217</v>
      </c>
      <c r="B51" s="40">
        <v>0.52083333333333337</v>
      </c>
      <c r="C51" s="1">
        <v>229.74</v>
      </c>
      <c r="D51" s="1">
        <v>230.58</v>
      </c>
      <c r="E51" s="1">
        <v>232.52</v>
      </c>
      <c r="F51" s="1">
        <v>10.7</v>
      </c>
      <c r="G51" s="1">
        <v>11.39</v>
      </c>
      <c r="H51" s="1">
        <v>5.19</v>
      </c>
      <c r="I51" s="1">
        <v>-0.86980000000000002</v>
      </c>
      <c r="J51" s="1">
        <v>-0.9133</v>
      </c>
      <c r="K51" s="1">
        <v>-0.90959999999999996</v>
      </c>
      <c r="L51" s="1">
        <v>2130</v>
      </c>
      <c r="M51" s="1">
        <v>2390</v>
      </c>
      <c r="N51" s="1">
        <v>1090</v>
      </c>
      <c r="O51" s="1">
        <v>5610</v>
      </c>
    </row>
    <row r="52" spans="1:15" x14ac:dyDescent="0.3">
      <c r="A52" s="2">
        <v>46217</v>
      </c>
      <c r="B52" s="40">
        <v>0.53125</v>
      </c>
      <c r="C52" s="1">
        <v>227.61</v>
      </c>
      <c r="D52" s="1">
        <v>228.39</v>
      </c>
      <c r="E52" s="1">
        <v>230.01</v>
      </c>
      <c r="F52" s="1">
        <v>10.92</v>
      </c>
      <c r="G52" s="1">
        <v>11.21</v>
      </c>
      <c r="H52" s="1">
        <v>5.54</v>
      </c>
      <c r="I52" s="1">
        <v>-0.87190000000000001</v>
      </c>
      <c r="J52" s="1">
        <v>-0.90439999999999998</v>
      </c>
      <c r="K52" s="1">
        <v>-0.91869999999999996</v>
      </c>
      <c r="L52" s="1">
        <v>2160</v>
      </c>
      <c r="M52" s="1">
        <v>2310</v>
      </c>
      <c r="N52" s="1">
        <v>1150</v>
      </c>
      <c r="O52" s="1">
        <v>5620</v>
      </c>
    </row>
    <row r="53" spans="1:15" x14ac:dyDescent="0.3">
      <c r="A53" s="2">
        <v>46217</v>
      </c>
      <c r="B53" s="40">
        <v>0.54166666666666663</v>
      </c>
      <c r="C53" s="1">
        <v>226.51</v>
      </c>
      <c r="D53" s="1">
        <v>227.17</v>
      </c>
      <c r="E53" s="1">
        <v>229.03</v>
      </c>
      <c r="F53" s="1">
        <v>11.61</v>
      </c>
      <c r="G53" s="1">
        <v>11.86</v>
      </c>
      <c r="H53" s="1">
        <v>5.8</v>
      </c>
      <c r="I53" s="1">
        <v>-0.87060000000000004</v>
      </c>
      <c r="J53" s="1">
        <v>-0.91</v>
      </c>
      <c r="K53" s="1">
        <v>-0.91220000000000001</v>
      </c>
      <c r="L53" s="1">
        <v>2280</v>
      </c>
      <c r="M53" s="1">
        <v>2440</v>
      </c>
      <c r="N53" s="1">
        <v>1190</v>
      </c>
      <c r="O53" s="1">
        <v>5910</v>
      </c>
    </row>
    <row r="54" spans="1:15" x14ac:dyDescent="0.3">
      <c r="A54" s="2">
        <v>46217</v>
      </c>
      <c r="B54" s="40">
        <v>0.55208333333333337</v>
      </c>
      <c r="C54" s="1">
        <v>226.01</v>
      </c>
      <c r="D54" s="1">
        <v>226.62</v>
      </c>
      <c r="E54" s="1">
        <v>228.44</v>
      </c>
      <c r="F54" s="1">
        <v>11.64</v>
      </c>
      <c r="G54" s="1">
        <v>13.27</v>
      </c>
      <c r="H54" s="1">
        <v>6.02</v>
      </c>
      <c r="I54" s="1">
        <v>-0.87370000000000003</v>
      </c>
      <c r="J54" s="1">
        <v>-0.91930000000000001</v>
      </c>
      <c r="K54" s="1">
        <v>-0.9103</v>
      </c>
      <c r="L54" s="1">
        <v>2280</v>
      </c>
      <c r="M54" s="1">
        <v>2750</v>
      </c>
      <c r="N54" s="1">
        <v>1200</v>
      </c>
      <c r="O54" s="1">
        <v>6240</v>
      </c>
    </row>
    <row r="55" spans="1:15" x14ac:dyDescent="0.3">
      <c r="A55" s="2">
        <v>46217</v>
      </c>
      <c r="B55" s="40">
        <v>0.5625</v>
      </c>
      <c r="C55" s="1">
        <v>227.82</v>
      </c>
      <c r="D55" s="1">
        <v>228.23</v>
      </c>
      <c r="E55" s="1">
        <v>230.19</v>
      </c>
      <c r="F55" s="1">
        <v>11.76</v>
      </c>
      <c r="G55" s="1">
        <v>17.11</v>
      </c>
      <c r="H55" s="1">
        <v>6.4</v>
      </c>
      <c r="I55" s="1">
        <v>-0.87529999999999997</v>
      </c>
      <c r="J55" s="1">
        <v>-0.94799999999999995</v>
      </c>
      <c r="K55" s="1">
        <v>-0.90100000000000002</v>
      </c>
      <c r="L55" s="1">
        <v>2330</v>
      </c>
      <c r="M55" s="1">
        <v>3660</v>
      </c>
      <c r="N55" s="1">
        <v>1280</v>
      </c>
      <c r="O55" s="1">
        <v>7260</v>
      </c>
    </row>
    <row r="56" spans="1:15" x14ac:dyDescent="0.3">
      <c r="A56" s="2">
        <v>46217</v>
      </c>
      <c r="B56" s="40">
        <v>0.57291666666666663</v>
      </c>
      <c r="C56" s="1">
        <v>230.06</v>
      </c>
      <c r="D56" s="1">
        <v>230.94</v>
      </c>
      <c r="E56" s="1">
        <v>232.91</v>
      </c>
      <c r="F56" s="1">
        <v>12.42</v>
      </c>
      <c r="G56" s="1">
        <v>12.01</v>
      </c>
      <c r="H56" s="1">
        <v>6.4</v>
      </c>
      <c r="I56" s="1">
        <v>-0.88370000000000004</v>
      </c>
      <c r="J56" s="1">
        <v>-0.91310000000000002</v>
      </c>
      <c r="K56" s="1">
        <v>-0.90890000000000004</v>
      </c>
      <c r="L56" s="1">
        <v>2510</v>
      </c>
      <c r="M56" s="1">
        <v>2510</v>
      </c>
      <c r="N56" s="1">
        <v>1280</v>
      </c>
      <c r="O56" s="1">
        <v>6300</v>
      </c>
    </row>
    <row r="57" spans="1:15" x14ac:dyDescent="0.3">
      <c r="A57" s="2">
        <v>46217</v>
      </c>
      <c r="B57" s="40">
        <v>0.58333333333333337</v>
      </c>
      <c r="C57" s="1">
        <v>231.92</v>
      </c>
      <c r="D57" s="1">
        <v>232.85</v>
      </c>
      <c r="E57" s="1">
        <v>234.85</v>
      </c>
      <c r="F57" s="1">
        <v>12.44</v>
      </c>
      <c r="G57" s="1">
        <v>11.49</v>
      </c>
      <c r="H57" s="1">
        <v>5.77</v>
      </c>
      <c r="I57" s="1">
        <v>-0.89149999999999996</v>
      </c>
      <c r="J57" s="1">
        <v>-0.91600000000000004</v>
      </c>
      <c r="K57" s="1">
        <v>-0.91049999999999998</v>
      </c>
      <c r="L57" s="1">
        <v>2570</v>
      </c>
      <c r="M57" s="1">
        <v>2450</v>
      </c>
      <c r="N57" s="1">
        <v>1230</v>
      </c>
      <c r="O57" s="1">
        <v>6260</v>
      </c>
    </row>
    <row r="58" spans="1:15" x14ac:dyDescent="0.3">
      <c r="A58" s="2">
        <v>46217</v>
      </c>
      <c r="B58" s="40">
        <v>0.59375</v>
      </c>
      <c r="C58" s="1">
        <v>231.11</v>
      </c>
      <c r="D58" s="1">
        <v>232.07</v>
      </c>
      <c r="E58" s="1">
        <v>234.09</v>
      </c>
      <c r="F58" s="1">
        <v>12.65</v>
      </c>
      <c r="G58" s="1">
        <v>11.3</v>
      </c>
      <c r="H58" s="1">
        <v>5.94</v>
      </c>
      <c r="I58" s="1">
        <v>-0.89270000000000005</v>
      </c>
      <c r="J58" s="1">
        <v>-0.91649999999999998</v>
      </c>
      <c r="K58" s="1">
        <v>-0.90069999999999995</v>
      </c>
      <c r="L58" s="1">
        <v>2610</v>
      </c>
      <c r="M58" s="1">
        <v>2400</v>
      </c>
      <c r="N58" s="1">
        <v>1230</v>
      </c>
      <c r="O58" s="1">
        <v>6240</v>
      </c>
    </row>
    <row r="59" spans="1:15" x14ac:dyDescent="0.3">
      <c r="A59" s="2">
        <v>46217</v>
      </c>
      <c r="B59" s="40">
        <v>0.60416666666666663</v>
      </c>
      <c r="C59" s="1">
        <v>229.56</v>
      </c>
      <c r="D59" s="1">
        <v>230.28</v>
      </c>
      <c r="E59" s="1">
        <v>232.13</v>
      </c>
      <c r="F59" s="1">
        <v>13.59</v>
      </c>
      <c r="G59" s="1">
        <v>14.55</v>
      </c>
      <c r="H59" s="1">
        <v>9.11</v>
      </c>
      <c r="I59" s="1">
        <v>-0.88449999999999995</v>
      </c>
      <c r="J59" s="1">
        <v>-0.89139999999999997</v>
      </c>
      <c r="K59" s="1">
        <v>-0.8538</v>
      </c>
      <c r="L59" s="1">
        <v>2740</v>
      </c>
      <c r="M59" s="1">
        <v>2870</v>
      </c>
      <c r="N59" s="1">
        <v>1670</v>
      </c>
      <c r="O59" s="1">
        <v>7280</v>
      </c>
    </row>
    <row r="60" spans="1:15" x14ac:dyDescent="0.3">
      <c r="A60" s="2">
        <v>46217</v>
      </c>
      <c r="B60" s="40">
        <v>0.61458333333333337</v>
      </c>
      <c r="C60" s="1">
        <v>229.88</v>
      </c>
      <c r="D60" s="1">
        <v>230.5</v>
      </c>
      <c r="E60" s="1">
        <v>232.5</v>
      </c>
      <c r="F60" s="1">
        <v>14.49</v>
      </c>
      <c r="G60" s="1">
        <v>18.37</v>
      </c>
      <c r="H60" s="1">
        <v>12.07</v>
      </c>
      <c r="I60" s="1">
        <v>-0.86680000000000001</v>
      </c>
      <c r="J60" s="1">
        <v>-0.86319999999999997</v>
      </c>
      <c r="K60" s="1">
        <v>-0.81740000000000002</v>
      </c>
      <c r="L60" s="1">
        <v>2880</v>
      </c>
      <c r="M60" s="1">
        <v>3650</v>
      </c>
      <c r="N60" s="1">
        <v>2280</v>
      </c>
      <c r="O60" s="1">
        <v>8810</v>
      </c>
    </row>
    <row r="61" spans="1:15" x14ac:dyDescent="0.3">
      <c r="A61" s="2">
        <v>46217</v>
      </c>
      <c r="B61" s="40">
        <v>0.625</v>
      </c>
      <c r="C61" s="1">
        <v>229.39</v>
      </c>
      <c r="D61" s="1">
        <v>230.25</v>
      </c>
      <c r="E61" s="1">
        <v>232.08</v>
      </c>
      <c r="F61" s="1">
        <v>14.34</v>
      </c>
      <c r="G61" s="1">
        <v>18.420000000000002</v>
      </c>
      <c r="H61" s="1">
        <v>11.73</v>
      </c>
      <c r="I61" s="1">
        <v>-0.86899999999999999</v>
      </c>
      <c r="J61" s="1">
        <v>-0.86739999999999995</v>
      </c>
      <c r="K61" s="1">
        <v>-0.81499999999999995</v>
      </c>
      <c r="L61" s="1">
        <v>2850</v>
      </c>
      <c r="M61" s="1">
        <v>3680</v>
      </c>
      <c r="N61" s="1">
        <v>2210</v>
      </c>
      <c r="O61" s="1">
        <v>8740</v>
      </c>
    </row>
    <row r="62" spans="1:15" x14ac:dyDescent="0.3">
      <c r="A62" s="2">
        <v>46217</v>
      </c>
      <c r="B62" s="40">
        <v>0.63541666666666663</v>
      </c>
      <c r="C62" s="1">
        <v>227.92</v>
      </c>
      <c r="D62" s="1">
        <v>228.86</v>
      </c>
      <c r="E62" s="1">
        <v>230.65</v>
      </c>
      <c r="F62" s="1">
        <v>14.77</v>
      </c>
      <c r="G62" s="1">
        <v>18.600000000000001</v>
      </c>
      <c r="H62" s="1">
        <v>11.78</v>
      </c>
      <c r="I62" s="1">
        <v>-0.87070000000000003</v>
      </c>
      <c r="J62" s="1">
        <v>-0.86870000000000003</v>
      </c>
      <c r="K62" s="1">
        <v>-0.81689999999999996</v>
      </c>
      <c r="L62" s="1">
        <v>2930</v>
      </c>
      <c r="M62" s="1">
        <v>3700</v>
      </c>
      <c r="N62" s="1">
        <v>2210</v>
      </c>
      <c r="O62" s="1">
        <v>8840</v>
      </c>
    </row>
    <row r="63" spans="1:15" x14ac:dyDescent="0.3">
      <c r="A63" s="2">
        <v>46217</v>
      </c>
      <c r="B63" s="40">
        <v>0.64583333333333337</v>
      </c>
      <c r="C63" s="1">
        <v>226.98</v>
      </c>
      <c r="D63" s="1">
        <v>227.7</v>
      </c>
      <c r="E63" s="1">
        <v>229.38</v>
      </c>
      <c r="F63" s="1">
        <v>15.33</v>
      </c>
      <c r="G63" s="1">
        <v>18.91</v>
      </c>
      <c r="H63" s="1">
        <v>12.37</v>
      </c>
      <c r="I63" s="1">
        <v>-0.88070000000000004</v>
      </c>
      <c r="J63" s="1">
        <v>-0.86829999999999996</v>
      </c>
      <c r="K63" s="1">
        <v>-0.82579999999999998</v>
      </c>
      <c r="L63" s="1">
        <v>3060</v>
      </c>
      <c r="M63" s="1">
        <v>3730</v>
      </c>
      <c r="N63" s="1">
        <v>2330</v>
      </c>
      <c r="O63" s="1">
        <v>9120</v>
      </c>
    </row>
    <row r="64" spans="1:15" x14ac:dyDescent="0.3">
      <c r="A64" s="2">
        <v>46217</v>
      </c>
      <c r="B64" s="40">
        <v>0.65625</v>
      </c>
      <c r="C64" s="1">
        <v>227.15</v>
      </c>
      <c r="D64" s="1">
        <v>227.92</v>
      </c>
      <c r="E64" s="1">
        <v>229.76</v>
      </c>
      <c r="F64" s="1">
        <v>14.47</v>
      </c>
      <c r="G64" s="1">
        <v>17.27</v>
      </c>
      <c r="H64" s="1">
        <v>10.99</v>
      </c>
      <c r="I64" s="1">
        <v>-0.88539999999999996</v>
      </c>
      <c r="J64" s="1">
        <v>-0.88070000000000004</v>
      </c>
      <c r="K64" s="1">
        <v>-0.8478</v>
      </c>
      <c r="L64" s="1">
        <v>2900</v>
      </c>
      <c r="M64" s="1">
        <v>3420</v>
      </c>
      <c r="N64" s="1">
        <v>2090</v>
      </c>
      <c r="O64" s="1">
        <v>8410</v>
      </c>
    </row>
    <row r="65" spans="1:15" x14ac:dyDescent="0.3">
      <c r="A65" s="2">
        <v>46217</v>
      </c>
      <c r="B65" s="40">
        <v>0.66666666666666663</v>
      </c>
      <c r="C65" s="1">
        <v>225.09</v>
      </c>
      <c r="D65" s="1">
        <v>225.81</v>
      </c>
      <c r="E65" s="1">
        <v>227.89</v>
      </c>
      <c r="F65" s="1">
        <v>13.08</v>
      </c>
      <c r="G65" s="1">
        <v>15.94</v>
      </c>
      <c r="H65" s="1">
        <v>7.78</v>
      </c>
      <c r="I65" s="1">
        <v>-0.90180000000000005</v>
      </c>
      <c r="J65" s="1">
        <v>-0.93220000000000003</v>
      </c>
      <c r="K65" s="1">
        <v>-0.89770000000000005</v>
      </c>
      <c r="L65" s="1">
        <v>2650</v>
      </c>
      <c r="M65" s="1">
        <v>3320</v>
      </c>
      <c r="N65" s="1">
        <v>1570</v>
      </c>
      <c r="O65" s="1">
        <v>7540</v>
      </c>
    </row>
    <row r="66" spans="1:15" x14ac:dyDescent="0.3">
      <c r="A66" s="2">
        <v>46217</v>
      </c>
      <c r="B66" s="40">
        <v>0.67708333333333337</v>
      </c>
      <c r="C66" s="1">
        <v>224.95</v>
      </c>
      <c r="D66" s="1">
        <v>225.73</v>
      </c>
      <c r="E66" s="1">
        <v>227.66</v>
      </c>
      <c r="F66" s="1">
        <v>11.93</v>
      </c>
      <c r="G66" s="1">
        <v>13.35</v>
      </c>
      <c r="H66" s="1">
        <v>7.35</v>
      </c>
      <c r="I66" s="1">
        <v>-0.9012</v>
      </c>
      <c r="J66" s="1">
        <v>-0.91069999999999995</v>
      </c>
      <c r="K66" s="1">
        <v>-0.8881</v>
      </c>
      <c r="L66" s="1">
        <v>2400</v>
      </c>
      <c r="M66" s="1">
        <v>2740</v>
      </c>
      <c r="N66" s="1">
        <v>1460</v>
      </c>
      <c r="O66" s="1">
        <v>6600</v>
      </c>
    </row>
    <row r="67" spans="1:15" x14ac:dyDescent="0.3">
      <c r="A67" s="2">
        <v>46217</v>
      </c>
      <c r="B67" s="40">
        <v>0.6875</v>
      </c>
      <c r="C67" s="1">
        <v>225.36</v>
      </c>
      <c r="D67" s="1">
        <v>225.97</v>
      </c>
      <c r="E67" s="1">
        <v>227.69</v>
      </c>
      <c r="F67" s="1">
        <v>10.73</v>
      </c>
      <c r="G67" s="1">
        <v>12.12</v>
      </c>
      <c r="H67" s="1">
        <v>7.49</v>
      </c>
      <c r="I67" s="1">
        <v>-0.89329999999999998</v>
      </c>
      <c r="J67" s="1">
        <v>-0.91620000000000001</v>
      </c>
      <c r="K67" s="1">
        <v>-0.875</v>
      </c>
      <c r="L67" s="1">
        <v>2140</v>
      </c>
      <c r="M67" s="1">
        <v>2490</v>
      </c>
      <c r="N67" s="1">
        <v>1450</v>
      </c>
      <c r="O67" s="1">
        <v>6080</v>
      </c>
    </row>
    <row r="68" spans="1:15" x14ac:dyDescent="0.3">
      <c r="A68" s="2">
        <v>46217</v>
      </c>
      <c r="B68" s="40">
        <v>0.69791666666666663</v>
      </c>
      <c r="C68" s="1">
        <v>225.59</v>
      </c>
      <c r="D68" s="1">
        <v>226.24</v>
      </c>
      <c r="E68" s="1">
        <v>227.87</v>
      </c>
      <c r="F68" s="1">
        <v>10.51</v>
      </c>
      <c r="G68" s="1">
        <v>11.44</v>
      </c>
      <c r="H68" s="1">
        <v>7.65</v>
      </c>
      <c r="I68" s="1">
        <v>-0.88570000000000004</v>
      </c>
      <c r="J68" s="1">
        <v>-0.91779999999999995</v>
      </c>
      <c r="K68" s="1">
        <v>-0.8679</v>
      </c>
      <c r="L68" s="1">
        <v>2090</v>
      </c>
      <c r="M68" s="1">
        <v>2370</v>
      </c>
      <c r="N68" s="1">
        <v>1500</v>
      </c>
      <c r="O68" s="1">
        <v>5950</v>
      </c>
    </row>
    <row r="69" spans="1:15" x14ac:dyDescent="0.3">
      <c r="A69" s="2">
        <v>46217</v>
      </c>
      <c r="B69" s="40">
        <v>0.70833333333333337</v>
      </c>
      <c r="C69" s="1">
        <v>226.38</v>
      </c>
      <c r="D69" s="1">
        <v>226.92</v>
      </c>
      <c r="E69" s="1">
        <v>228.44</v>
      </c>
      <c r="F69" s="1">
        <v>10.33</v>
      </c>
      <c r="G69" s="1">
        <v>11.06</v>
      </c>
      <c r="H69" s="1">
        <v>7.67</v>
      </c>
      <c r="I69" s="1">
        <v>-0.88390000000000002</v>
      </c>
      <c r="J69" s="1">
        <v>-0.91100000000000003</v>
      </c>
      <c r="K69" s="1">
        <v>-0.86429999999999996</v>
      </c>
      <c r="L69" s="1">
        <v>2060</v>
      </c>
      <c r="M69" s="1">
        <v>2280</v>
      </c>
      <c r="N69" s="1">
        <v>1500</v>
      </c>
      <c r="O69" s="1">
        <v>5850</v>
      </c>
    </row>
    <row r="70" spans="1:15" x14ac:dyDescent="0.3">
      <c r="A70" s="2">
        <v>46217</v>
      </c>
      <c r="B70" s="40">
        <v>0.71875</v>
      </c>
      <c r="C70" s="1">
        <v>227.29</v>
      </c>
      <c r="D70" s="1">
        <v>227.89</v>
      </c>
      <c r="E70" s="1">
        <v>229.2</v>
      </c>
      <c r="F70" s="1">
        <v>9.9499999999999993</v>
      </c>
      <c r="G70" s="1">
        <v>10.71</v>
      </c>
      <c r="H70" s="1">
        <v>7.42</v>
      </c>
      <c r="I70" s="1">
        <v>-0.88560000000000005</v>
      </c>
      <c r="J70" s="1">
        <v>-0.91039999999999999</v>
      </c>
      <c r="K70" s="1">
        <v>-0.86570000000000003</v>
      </c>
      <c r="L70" s="1">
        <v>2000</v>
      </c>
      <c r="M70" s="1">
        <v>2220</v>
      </c>
      <c r="N70" s="1">
        <v>1460</v>
      </c>
      <c r="O70" s="1">
        <v>5670</v>
      </c>
    </row>
    <row r="71" spans="1:15" x14ac:dyDescent="0.3">
      <c r="A71" s="2">
        <v>46217</v>
      </c>
      <c r="B71" s="40">
        <v>0.72916666666666663</v>
      </c>
      <c r="C71" s="1">
        <v>227.92</v>
      </c>
      <c r="D71" s="1">
        <v>228.46</v>
      </c>
      <c r="E71" s="1">
        <v>229.88</v>
      </c>
      <c r="F71" s="1">
        <v>9.51</v>
      </c>
      <c r="G71" s="1">
        <v>10.61</v>
      </c>
      <c r="H71" s="1">
        <v>7.11</v>
      </c>
      <c r="I71" s="1">
        <v>-0.88590000000000002</v>
      </c>
      <c r="J71" s="1">
        <v>-0.91169999999999995</v>
      </c>
      <c r="K71" s="1">
        <v>-0.86729999999999996</v>
      </c>
      <c r="L71" s="1">
        <v>1920</v>
      </c>
      <c r="M71" s="1">
        <v>2210</v>
      </c>
      <c r="N71" s="1">
        <v>1420</v>
      </c>
      <c r="O71" s="1">
        <v>5550</v>
      </c>
    </row>
    <row r="72" spans="1:15" x14ac:dyDescent="0.3">
      <c r="A72" s="2">
        <v>46217</v>
      </c>
      <c r="B72" s="40">
        <v>0.73958333333333337</v>
      </c>
      <c r="C72" s="1">
        <v>227.41</v>
      </c>
      <c r="D72" s="1">
        <v>228.13</v>
      </c>
      <c r="E72" s="1">
        <v>229.38</v>
      </c>
      <c r="F72" s="1">
        <v>9.8000000000000007</v>
      </c>
      <c r="G72" s="1">
        <v>10.36</v>
      </c>
      <c r="H72" s="1">
        <v>6.76</v>
      </c>
      <c r="I72" s="1">
        <v>-0.87929999999999997</v>
      </c>
      <c r="J72" s="1">
        <v>-0.91249999999999998</v>
      </c>
      <c r="K72" s="1">
        <v>-0.86370000000000002</v>
      </c>
      <c r="L72" s="1">
        <v>1960</v>
      </c>
      <c r="M72" s="1">
        <v>2160</v>
      </c>
      <c r="N72" s="1">
        <v>1340</v>
      </c>
      <c r="O72" s="1">
        <v>5450</v>
      </c>
    </row>
    <row r="73" spans="1:15" x14ac:dyDescent="0.3">
      <c r="A73" s="2">
        <v>46217</v>
      </c>
      <c r="B73" s="40">
        <v>0.75</v>
      </c>
      <c r="C73" s="1">
        <v>226.05</v>
      </c>
      <c r="D73" s="1">
        <v>226.84</v>
      </c>
      <c r="E73" s="1">
        <v>228.03</v>
      </c>
      <c r="F73" s="1">
        <v>10.08</v>
      </c>
      <c r="G73" s="1">
        <v>10.76</v>
      </c>
      <c r="H73" s="1">
        <v>7.98</v>
      </c>
      <c r="I73" s="1">
        <v>-0.87829999999999997</v>
      </c>
      <c r="J73" s="1">
        <v>-0.89400000000000002</v>
      </c>
      <c r="K73" s="1">
        <v>-0.83420000000000005</v>
      </c>
      <c r="L73" s="1">
        <v>1970</v>
      </c>
      <c r="M73" s="1">
        <v>2150</v>
      </c>
      <c r="N73" s="1">
        <v>1490</v>
      </c>
      <c r="O73" s="1">
        <v>5610</v>
      </c>
    </row>
    <row r="74" spans="1:15" x14ac:dyDescent="0.3">
      <c r="A74" s="2">
        <v>46217</v>
      </c>
      <c r="B74" s="40">
        <v>0.76041666666666663</v>
      </c>
      <c r="C74" s="1">
        <v>225.38</v>
      </c>
      <c r="D74" s="1">
        <v>226.03</v>
      </c>
      <c r="E74" s="1">
        <v>227.26</v>
      </c>
      <c r="F74" s="1">
        <v>5.53</v>
      </c>
      <c r="G74" s="1">
        <v>9.57</v>
      </c>
      <c r="H74" s="1">
        <v>7.46</v>
      </c>
      <c r="I74" s="1">
        <v>-0.82410000000000005</v>
      </c>
      <c r="J74" s="1">
        <v>-0.77600000000000002</v>
      </c>
      <c r="K74" s="1">
        <v>-0.76339999999999997</v>
      </c>
      <c r="L74" s="1">
        <v>1020</v>
      </c>
      <c r="M74" s="1">
        <v>1670</v>
      </c>
      <c r="N74" s="1">
        <v>1290</v>
      </c>
      <c r="O74" s="1">
        <v>3980</v>
      </c>
    </row>
    <row r="75" spans="1:15" x14ac:dyDescent="0.3">
      <c r="A75" s="2">
        <v>46217</v>
      </c>
      <c r="B75" s="40">
        <v>0.77083333333333337</v>
      </c>
      <c r="C75" s="1">
        <v>225.72</v>
      </c>
      <c r="D75" s="1">
        <v>226.47</v>
      </c>
      <c r="E75" s="1">
        <v>227.53</v>
      </c>
      <c r="F75" s="1">
        <v>4.66</v>
      </c>
      <c r="G75" s="1">
        <v>9.52</v>
      </c>
      <c r="H75" s="1">
        <v>6.57</v>
      </c>
      <c r="I75" s="1">
        <v>-0.84399999999999997</v>
      </c>
      <c r="J75" s="1">
        <v>-0.78200000000000003</v>
      </c>
      <c r="K75" s="1">
        <v>-0.747</v>
      </c>
      <c r="L75" s="1">
        <v>890</v>
      </c>
      <c r="M75" s="1">
        <v>1690</v>
      </c>
      <c r="N75" s="1">
        <v>1120</v>
      </c>
      <c r="O75" s="1">
        <v>3690</v>
      </c>
    </row>
    <row r="76" spans="1:15" x14ac:dyDescent="0.3">
      <c r="A76" s="2">
        <v>46217</v>
      </c>
      <c r="B76" s="40">
        <v>0.78125</v>
      </c>
      <c r="C76" s="1">
        <v>226.41</v>
      </c>
      <c r="D76" s="1">
        <v>227.15</v>
      </c>
      <c r="E76" s="1">
        <v>228.14</v>
      </c>
      <c r="F76" s="1">
        <v>4.6500000000000004</v>
      </c>
      <c r="G76" s="1">
        <v>9.2799999999999994</v>
      </c>
      <c r="H76" s="1">
        <v>6.66</v>
      </c>
      <c r="I76" s="1">
        <v>-0.84560000000000002</v>
      </c>
      <c r="J76" s="1">
        <v>-0.7782</v>
      </c>
      <c r="K76" s="1">
        <v>-0.74880000000000002</v>
      </c>
      <c r="L76" s="1">
        <v>890</v>
      </c>
      <c r="M76" s="1">
        <v>1640</v>
      </c>
      <c r="N76" s="1">
        <v>1140</v>
      </c>
      <c r="O76" s="1">
        <v>3670</v>
      </c>
    </row>
    <row r="77" spans="1:15" x14ac:dyDescent="0.3">
      <c r="A77" s="2">
        <v>46217</v>
      </c>
      <c r="B77" s="40">
        <v>0.79166666666666663</v>
      </c>
      <c r="C77" s="1">
        <v>226.24</v>
      </c>
      <c r="D77" s="1">
        <v>226.92</v>
      </c>
      <c r="E77" s="1">
        <v>227.91</v>
      </c>
      <c r="F77" s="1">
        <v>5.62</v>
      </c>
      <c r="G77" s="1">
        <v>9.17</v>
      </c>
      <c r="H77" s="1">
        <v>6.85</v>
      </c>
      <c r="I77" s="1">
        <v>-0.85219999999999996</v>
      </c>
      <c r="J77" s="1">
        <v>-0.77329999999999999</v>
      </c>
      <c r="K77" s="1">
        <v>-0.75280000000000002</v>
      </c>
      <c r="L77" s="1">
        <v>1080</v>
      </c>
      <c r="M77" s="1">
        <v>1610</v>
      </c>
      <c r="N77" s="1">
        <v>1180</v>
      </c>
      <c r="O77" s="1">
        <v>3870</v>
      </c>
    </row>
    <row r="78" spans="1:15" x14ac:dyDescent="0.3">
      <c r="A78" s="2">
        <v>46217</v>
      </c>
      <c r="B78" s="40">
        <v>0.80208333333333337</v>
      </c>
      <c r="C78" s="1">
        <v>227.32</v>
      </c>
      <c r="D78" s="1">
        <v>227.99</v>
      </c>
      <c r="E78" s="1">
        <v>228.97</v>
      </c>
      <c r="F78" s="1">
        <v>5.5</v>
      </c>
      <c r="G78" s="1">
        <v>9.19</v>
      </c>
      <c r="H78" s="1">
        <v>7.09</v>
      </c>
      <c r="I78" s="1">
        <v>-0.84709999999999996</v>
      </c>
      <c r="J78" s="1">
        <v>-0.77090000000000003</v>
      </c>
      <c r="K78" s="1">
        <v>-0.76690000000000003</v>
      </c>
      <c r="L78" s="1">
        <v>1060</v>
      </c>
      <c r="M78" s="1">
        <v>1620</v>
      </c>
      <c r="N78" s="1">
        <v>1240</v>
      </c>
      <c r="O78" s="1">
        <v>3920</v>
      </c>
    </row>
    <row r="79" spans="1:15" x14ac:dyDescent="0.3">
      <c r="A79" s="2">
        <v>46217</v>
      </c>
      <c r="B79" s="40">
        <v>0.8125</v>
      </c>
      <c r="C79" s="1">
        <v>226.77</v>
      </c>
      <c r="D79" s="1">
        <v>227.52</v>
      </c>
      <c r="E79" s="1">
        <v>228.32</v>
      </c>
      <c r="F79" s="1">
        <v>5.72</v>
      </c>
      <c r="G79" s="1">
        <v>9.4600000000000009</v>
      </c>
      <c r="H79" s="1">
        <v>7.29</v>
      </c>
      <c r="I79" s="1">
        <v>-0.82840000000000003</v>
      </c>
      <c r="J79" s="1">
        <v>-0.77629999999999999</v>
      </c>
      <c r="K79" s="1">
        <v>-0.76759999999999995</v>
      </c>
      <c r="L79" s="1">
        <v>1070</v>
      </c>
      <c r="M79" s="1">
        <v>1670</v>
      </c>
      <c r="N79" s="1">
        <v>1280</v>
      </c>
      <c r="O79" s="1">
        <v>4020</v>
      </c>
    </row>
    <row r="80" spans="1:15" x14ac:dyDescent="0.3">
      <c r="A80" s="2">
        <v>46217</v>
      </c>
      <c r="B80" s="40">
        <v>0.82291666666666663</v>
      </c>
      <c r="C80" s="1">
        <v>226.63</v>
      </c>
      <c r="D80" s="1">
        <v>227.46</v>
      </c>
      <c r="E80" s="1">
        <v>228.58</v>
      </c>
      <c r="F80" s="1">
        <v>5.96</v>
      </c>
      <c r="G80" s="1">
        <v>9.8000000000000007</v>
      </c>
      <c r="H80" s="1">
        <v>7.31</v>
      </c>
      <c r="I80" s="1">
        <v>-0.82410000000000005</v>
      </c>
      <c r="J80" s="1">
        <v>-0.78569999999999995</v>
      </c>
      <c r="K80" s="1">
        <v>-0.76519999999999999</v>
      </c>
      <c r="L80" s="1">
        <v>1110</v>
      </c>
      <c r="M80" s="1">
        <v>1750</v>
      </c>
      <c r="N80" s="1">
        <v>1280</v>
      </c>
      <c r="O80" s="1">
        <v>4140</v>
      </c>
    </row>
    <row r="81" spans="1:15" x14ac:dyDescent="0.3">
      <c r="A81" s="2">
        <v>46217</v>
      </c>
      <c r="B81" s="40">
        <v>0.83333333333333337</v>
      </c>
      <c r="C81" s="1">
        <v>227.4</v>
      </c>
      <c r="D81" s="1">
        <v>228.17</v>
      </c>
      <c r="E81" s="1">
        <v>229.28</v>
      </c>
      <c r="F81" s="1">
        <v>5.94</v>
      </c>
      <c r="G81" s="1">
        <v>9.76</v>
      </c>
      <c r="H81" s="1">
        <v>7.17</v>
      </c>
      <c r="I81" s="1">
        <v>-0.82399999999999995</v>
      </c>
      <c r="J81" s="1">
        <v>-0.78959999999999997</v>
      </c>
      <c r="K81" s="1">
        <v>-0.7651</v>
      </c>
      <c r="L81" s="1">
        <v>1110</v>
      </c>
      <c r="M81" s="1">
        <v>1760</v>
      </c>
      <c r="N81" s="1">
        <v>1260</v>
      </c>
      <c r="O81" s="1">
        <v>4130</v>
      </c>
    </row>
    <row r="82" spans="1:15" x14ac:dyDescent="0.3">
      <c r="A82" s="2">
        <v>46217</v>
      </c>
      <c r="B82" s="40">
        <v>0.84375</v>
      </c>
      <c r="C82" s="1">
        <v>228.81</v>
      </c>
      <c r="D82" s="1">
        <v>229.35</v>
      </c>
      <c r="E82" s="1">
        <v>230.46</v>
      </c>
      <c r="F82" s="1">
        <v>5.96</v>
      </c>
      <c r="G82" s="1">
        <v>10.44</v>
      </c>
      <c r="H82" s="1">
        <v>7.06</v>
      </c>
      <c r="I82" s="1">
        <v>-0.83909999999999996</v>
      </c>
      <c r="J82" s="1">
        <v>-0.79720000000000002</v>
      </c>
      <c r="K82" s="1">
        <v>-0.76180000000000003</v>
      </c>
      <c r="L82" s="1">
        <v>1140</v>
      </c>
      <c r="M82" s="1">
        <v>1910</v>
      </c>
      <c r="N82" s="1">
        <v>1240</v>
      </c>
      <c r="O82" s="1">
        <v>4290</v>
      </c>
    </row>
    <row r="83" spans="1:15" x14ac:dyDescent="0.3">
      <c r="A83" s="2">
        <v>46217</v>
      </c>
      <c r="B83" s="40">
        <v>0.85416666666666663</v>
      </c>
      <c r="C83" s="1">
        <v>230.17</v>
      </c>
      <c r="D83" s="1">
        <v>230.71</v>
      </c>
      <c r="E83" s="1">
        <v>231.88</v>
      </c>
      <c r="F83" s="1">
        <v>5.94</v>
      </c>
      <c r="G83" s="1">
        <v>10.19</v>
      </c>
      <c r="H83" s="1">
        <v>7.29</v>
      </c>
      <c r="I83" s="1">
        <v>-0.84450000000000003</v>
      </c>
      <c r="J83" s="1">
        <v>-0.79500000000000004</v>
      </c>
      <c r="K83" s="1">
        <v>-0.76060000000000005</v>
      </c>
      <c r="L83" s="1">
        <v>1150</v>
      </c>
      <c r="M83" s="1">
        <v>1870</v>
      </c>
      <c r="N83" s="1">
        <v>1280</v>
      </c>
      <c r="O83" s="1">
        <v>4310</v>
      </c>
    </row>
    <row r="84" spans="1:15" x14ac:dyDescent="0.3">
      <c r="A84" s="2">
        <v>46217</v>
      </c>
      <c r="B84" s="40">
        <v>0.86458333333333337</v>
      </c>
      <c r="C84" s="1">
        <v>232.01</v>
      </c>
      <c r="D84" s="1">
        <v>232.6</v>
      </c>
      <c r="E84" s="1">
        <v>233.81</v>
      </c>
      <c r="F84" s="1">
        <v>6.31</v>
      </c>
      <c r="G84" s="1">
        <v>10.17</v>
      </c>
      <c r="H84" s="1">
        <v>7.25</v>
      </c>
      <c r="I84" s="1">
        <v>-0.84750000000000003</v>
      </c>
      <c r="J84" s="1">
        <v>-0.79079999999999995</v>
      </c>
      <c r="K84" s="1">
        <v>-0.77229999999999999</v>
      </c>
      <c r="L84" s="1">
        <v>1240</v>
      </c>
      <c r="M84" s="1">
        <v>1870</v>
      </c>
      <c r="N84" s="1">
        <v>1310</v>
      </c>
      <c r="O84" s="1">
        <v>4420</v>
      </c>
    </row>
    <row r="85" spans="1:15" x14ac:dyDescent="0.3">
      <c r="A85" s="2">
        <v>46217</v>
      </c>
      <c r="B85" s="40">
        <v>0.875</v>
      </c>
      <c r="C85" s="1">
        <v>231.04</v>
      </c>
      <c r="D85" s="1">
        <v>231.72</v>
      </c>
      <c r="E85" s="1">
        <v>232.81</v>
      </c>
      <c r="F85" s="1">
        <v>6.23</v>
      </c>
      <c r="G85" s="1">
        <v>9.92</v>
      </c>
      <c r="H85" s="1">
        <v>7.12</v>
      </c>
      <c r="I85" s="1">
        <v>-0.84709999999999996</v>
      </c>
      <c r="J85" s="1">
        <v>-0.78849999999999998</v>
      </c>
      <c r="K85" s="1">
        <v>-0.77259999999999995</v>
      </c>
      <c r="L85" s="1">
        <v>1220</v>
      </c>
      <c r="M85" s="1">
        <v>1810</v>
      </c>
      <c r="N85" s="1">
        <v>1280</v>
      </c>
      <c r="O85" s="1">
        <v>4310</v>
      </c>
    </row>
    <row r="86" spans="1:15" x14ac:dyDescent="0.3">
      <c r="A86" s="2">
        <v>46217</v>
      </c>
      <c r="B86" s="40">
        <v>0.88541666666666663</v>
      </c>
      <c r="C86" s="1">
        <v>231.57</v>
      </c>
      <c r="D86" s="1">
        <v>232.1</v>
      </c>
      <c r="E86" s="1">
        <v>233.43</v>
      </c>
      <c r="F86" s="1">
        <v>6.09</v>
      </c>
      <c r="G86" s="1">
        <v>9.7799999999999994</v>
      </c>
      <c r="H86" s="1">
        <v>7.08</v>
      </c>
      <c r="I86" s="1">
        <v>-0.84519999999999995</v>
      </c>
      <c r="J86" s="1">
        <v>-0.79100000000000004</v>
      </c>
      <c r="K86" s="1">
        <v>-0.77410000000000001</v>
      </c>
      <c r="L86" s="1">
        <v>1190</v>
      </c>
      <c r="M86" s="1">
        <v>1790</v>
      </c>
      <c r="N86" s="1">
        <v>1280</v>
      </c>
      <c r="O86" s="1">
        <v>4260</v>
      </c>
    </row>
    <row r="87" spans="1:15" x14ac:dyDescent="0.3">
      <c r="A87" s="2">
        <v>46217</v>
      </c>
      <c r="B87" s="40">
        <v>0.89583333333333337</v>
      </c>
      <c r="C87" s="1">
        <v>232.75</v>
      </c>
      <c r="D87" s="1">
        <v>233.15</v>
      </c>
      <c r="E87" s="1">
        <v>234.5</v>
      </c>
      <c r="F87" s="1">
        <v>6.07</v>
      </c>
      <c r="G87" s="1">
        <v>9.6199999999999992</v>
      </c>
      <c r="H87" s="1">
        <v>7.08</v>
      </c>
      <c r="I87" s="1">
        <v>-0.84330000000000005</v>
      </c>
      <c r="J87" s="1">
        <v>-0.79190000000000005</v>
      </c>
      <c r="K87" s="1">
        <v>-0.7772</v>
      </c>
      <c r="L87" s="1">
        <v>1190</v>
      </c>
      <c r="M87" s="1">
        <v>1780</v>
      </c>
      <c r="N87" s="1">
        <v>1290</v>
      </c>
      <c r="O87" s="1">
        <v>4260</v>
      </c>
    </row>
    <row r="88" spans="1:15" x14ac:dyDescent="0.3">
      <c r="A88" s="2">
        <v>46217</v>
      </c>
      <c r="B88" s="40">
        <v>0.90625</v>
      </c>
      <c r="C88" s="1">
        <v>232.43</v>
      </c>
      <c r="D88" s="1">
        <v>232.72</v>
      </c>
      <c r="E88" s="1">
        <v>234.18</v>
      </c>
      <c r="F88" s="1">
        <v>5.95</v>
      </c>
      <c r="G88" s="1">
        <v>9.6</v>
      </c>
      <c r="H88" s="1">
        <v>6.92</v>
      </c>
      <c r="I88" s="1">
        <v>-0.84489999999999998</v>
      </c>
      <c r="J88" s="1">
        <v>-0.79200000000000004</v>
      </c>
      <c r="K88" s="1">
        <v>-0.77329999999999999</v>
      </c>
      <c r="L88" s="1">
        <v>1170</v>
      </c>
      <c r="M88" s="1">
        <v>1770</v>
      </c>
      <c r="N88" s="1">
        <v>1250</v>
      </c>
      <c r="O88" s="1">
        <v>4190</v>
      </c>
    </row>
    <row r="89" spans="1:15" x14ac:dyDescent="0.3">
      <c r="A89" s="2">
        <v>46217</v>
      </c>
      <c r="B89" s="40">
        <v>0.91666666666666663</v>
      </c>
      <c r="C89" s="1">
        <v>231.22</v>
      </c>
      <c r="D89" s="1">
        <v>231.52</v>
      </c>
      <c r="E89" s="1">
        <v>232.87</v>
      </c>
      <c r="F89" s="1">
        <v>5.82</v>
      </c>
      <c r="G89" s="1">
        <v>9.58</v>
      </c>
      <c r="H89" s="1">
        <v>7.01</v>
      </c>
      <c r="I89" s="1">
        <v>-0.84089999999999998</v>
      </c>
      <c r="J89" s="1">
        <v>-0.78349999999999997</v>
      </c>
      <c r="K89" s="1">
        <v>-0.77529999999999999</v>
      </c>
      <c r="L89" s="1">
        <v>1130</v>
      </c>
      <c r="M89" s="1">
        <v>1740</v>
      </c>
      <c r="N89" s="1">
        <v>1270</v>
      </c>
      <c r="O89" s="1">
        <v>4130</v>
      </c>
    </row>
    <row r="90" spans="1:15" x14ac:dyDescent="0.3">
      <c r="A90" s="2">
        <v>46217</v>
      </c>
      <c r="B90" s="40">
        <v>0.92708333333333337</v>
      </c>
      <c r="C90" s="1">
        <v>232.88</v>
      </c>
      <c r="D90" s="1">
        <v>233.29</v>
      </c>
      <c r="E90" s="1">
        <v>234.45</v>
      </c>
      <c r="F90" s="1">
        <v>5.78</v>
      </c>
      <c r="G90" s="1">
        <v>9.83</v>
      </c>
      <c r="H90" s="1">
        <v>7.39</v>
      </c>
      <c r="I90" s="1">
        <v>-0.84060000000000001</v>
      </c>
      <c r="J90" s="1">
        <v>-0.7903</v>
      </c>
      <c r="K90" s="1">
        <v>-0.77880000000000005</v>
      </c>
      <c r="L90" s="1">
        <v>1130</v>
      </c>
      <c r="M90" s="1">
        <v>1810</v>
      </c>
      <c r="N90" s="1">
        <v>1350</v>
      </c>
      <c r="O90" s="1">
        <v>4290</v>
      </c>
    </row>
    <row r="91" spans="1:15" x14ac:dyDescent="0.3">
      <c r="A91" s="2">
        <v>46217</v>
      </c>
      <c r="B91" s="40">
        <v>0.9375</v>
      </c>
      <c r="C91" s="1">
        <v>233.74</v>
      </c>
      <c r="D91" s="1">
        <v>234.17</v>
      </c>
      <c r="E91" s="1">
        <v>235.01</v>
      </c>
      <c r="F91" s="1">
        <v>6.12</v>
      </c>
      <c r="G91" s="1">
        <v>9.98</v>
      </c>
      <c r="H91" s="1">
        <v>7.14</v>
      </c>
      <c r="I91" s="1">
        <v>-0.84960000000000002</v>
      </c>
      <c r="J91" s="1">
        <v>-0.79630000000000001</v>
      </c>
      <c r="K91" s="1">
        <v>-0.78039999999999998</v>
      </c>
      <c r="L91" s="1">
        <v>1210</v>
      </c>
      <c r="M91" s="1">
        <v>1860</v>
      </c>
      <c r="N91" s="1">
        <v>1310</v>
      </c>
      <c r="O91" s="1">
        <v>4390</v>
      </c>
    </row>
    <row r="92" spans="1:15" x14ac:dyDescent="0.3">
      <c r="A92" s="2">
        <v>46217</v>
      </c>
      <c r="B92" s="40">
        <v>0.94791666666666663</v>
      </c>
      <c r="C92" s="1">
        <v>233</v>
      </c>
      <c r="D92" s="1">
        <v>233.4</v>
      </c>
      <c r="E92" s="1">
        <v>234.35</v>
      </c>
      <c r="F92" s="1">
        <v>5.94</v>
      </c>
      <c r="G92" s="1">
        <v>10.050000000000001</v>
      </c>
      <c r="H92" s="1">
        <v>7.02</v>
      </c>
      <c r="I92" s="1">
        <v>-0.84660000000000002</v>
      </c>
      <c r="J92" s="1">
        <v>-0.79320000000000002</v>
      </c>
      <c r="K92" s="1">
        <v>-0.77780000000000005</v>
      </c>
      <c r="L92" s="1">
        <v>1170</v>
      </c>
      <c r="M92" s="1">
        <v>1860</v>
      </c>
      <c r="N92" s="1">
        <v>1280</v>
      </c>
      <c r="O92" s="1">
        <v>4310</v>
      </c>
    </row>
    <row r="93" spans="1:15" x14ac:dyDescent="0.3">
      <c r="A93" s="2">
        <v>46217</v>
      </c>
      <c r="B93" s="40">
        <v>0.95833333333333337</v>
      </c>
      <c r="C93" s="1">
        <v>233.21</v>
      </c>
      <c r="D93" s="1">
        <v>233.57</v>
      </c>
      <c r="E93" s="1">
        <v>234.54</v>
      </c>
      <c r="F93" s="1">
        <v>6.28</v>
      </c>
      <c r="G93" s="1">
        <v>9.83</v>
      </c>
      <c r="H93" s="1">
        <v>6.98</v>
      </c>
      <c r="I93" s="1">
        <v>-0.85340000000000005</v>
      </c>
      <c r="J93" s="1">
        <v>-0.79120000000000001</v>
      </c>
      <c r="K93" s="1">
        <v>-0.77280000000000004</v>
      </c>
      <c r="L93" s="1">
        <v>1250</v>
      </c>
      <c r="M93" s="1">
        <v>1820</v>
      </c>
      <c r="N93" s="1">
        <v>1260</v>
      </c>
      <c r="O93" s="1">
        <v>4330</v>
      </c>
    </row>
    <row r="94" spans="1:15" x14ac:dyDescent="0.3">
      <c r="A94" s="2">
        <v>46217</v>
      </c>
      <c r="B94" s="40">
        <v>0.96875</v>
      </c>
      <c r="C94" s="1">
        <v>234.54</v>
      </c>
      <c r="D94" s="1">
        <v>234.79</v>
      </c>
      <c r="E94" s="1">
        <v>235.88</v>
      </c>
      <c r="F94" s="1">
        <v>5.84</v>
      </c>
      <c r="G94" s="1">
        <v>10.02</v>
      </c>
      <c r="H94" s="1">
        <v>6.75</v>
      </c>
      <c r="I94" s="1">
        <v>-0.83989999999999998</v>
      </c>
      <c r="J94" s="1">
        <v>-0.79330000000000001</v>
      </c>
      <c r="K94" s="1">
        <v>-0.75900000000000001</v>
      </c>
      <c r="L94" s="1">
        <v>1150</v>
      </c>
      <c r="M94" s="1">
        <v>1870</v>
      </c>
      <c r="N94" s="1">
        <v>1210</v>
      </c>
      <c r="O94" s="1">
        <v>4230</v>
      </c>
    </row>
    <row r="95" spans="1:15" x14ac:dyDescent="0.3">
      <c r="A95" s="2">
        <v>46217</v>
      </c>
      <c r="B95" s="40">
        <v>0.97916666666666663</v>
      </c>
      <c r="C95" s="1">
        <v>232.85</v>
      </c>
      <c r="D95" s="1">
        <v>233.05</v>
      </c>
      <c r="E95" s="1">
        <v>234.09</v>
      </c>
      <c r="F95" s="1">
        <v>5.51</v>
      </c>
      <c r="G95" s="1">
        <v>10.35</v>
      </c>
      <c r="H95" s="1">
        <v>6.67</v>
      </c>
      <c r="I95" s="1">
        <v>-0.83540000000000003</v>
      </c>
      <c r="J95" s="1">
        <v>-0.78920000000000001</v>
      </c>
      <c r="K95" s="1">
        <v>-0.75849999999999995</v>
      </c>
      <c r="L95" s="1">
        <v>1070</v>
      </c>
      <c r="M95" s="1">
        <v>1900</v>
      </c>
      <c r="N95" s="1">
        <v>1180</v>
      </c>
      <c r="O95" s="1">
        <v>4160</v>
      </c>
    </row>
    <row r="96" spans="1:15" x14ac:dyDescent="0.3">
      <c r="A96" s="2">
        <v>46217</v>
      </c>
      <c r="B96" s="40">
        <v>0.98958333333333337</v>
      </c>
      <c r="C96" s="1">
        <v>226.98</v>
      </c>
      <c r="D96" s="1">
        <v>227.21</v>
      </c>
      <c r="E96" s="1">
        <v>228.13</v>
      </c>
      <c r="F96" s="1">
        <v>5.44</v>
      </c>
      <c r="G96" s="1">
        <v>10.71</v>
      </c>
      <c r="H96" s="1">
        <v>6.6</v>
      </c>
      <c r="I96" s="1">
        <v>-0.84099999999999997</v>
      </c>
      <c r="J96" s="1">
        <v>-0.79879999999999995</v>
      </c>
      <c r="K96" s="1">
        <v>-0.76819999999999999</v>
      </c>
      <c r="L96" s="1">
        <v>1040</v>
      </c>
      <c r="M96" s="1">
        <v>1940</v>
      </c>
      <c r="N96" s="1">
        <v>1160</v>
      </c>
      <c r="O96" s="1">
        <v>4140</v>
      </c>
    </row>
    <row r="97" spans="1:15" x14ac:dyDescent="0.3">
      <c r="A97" s="2">
        <v>46218</v>
      </c>
      <c r="B97" s="40">
        <v>0</v>
      </c>
      <c r="C97" s="1">
        <v>226.28</v>
      </c>
      <c r="D97" s="1">
        <v>226.44</v>
      </c>
      <c r="E97" s="1">
        <v>227.39</v>
      </c>
      <c r="F97" s="1">
        <v>5.36</v>
      </c>
      <c r="G97" s="1">
        <v>10.32</v>
      </c>
      <c r="H97" s="1">
        <v>6.37</v>
      </c>
      <c r="I97" s="1">
        <v>-0.84140000000000004</v>
      </c>
      <c r="J97" s="1">
        <v>-0.80100000000000005</v>
      </c>
      <c r="K97" s="1">
        <v>-0.76580000000000004</v>
      </c>
      <c r="L97" s="1">
        <v>1020</v>
      </c>
      <c r="M97" s="1">
        <v>1870</v>
      </c>
      <c r="N97" s="1">
        <v>1110</v>
      </c>
      <c r="O97" s="1">
        <v>4000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12BB0-434C-4D54-A93A-ACF2C190E425}">
  <dimension ref="A1"/>
  <sheetViews>
    <sheetView workbookViewId="0">
      <selection activeCell="C5" sqref="C5"/>
    </sheetView>
  </sheetViews>
  <sheetFormatPr defaultRowHeight="14.4" x14ac:dyDescent="0.3"/>
  <sheetData>
    <row r="1" spans="1:1" x14ac:dyDescent="0.3">
      <c r="A1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7EF4-02C0-47F1-9231-83EA8A97D0D7}">
  <dimension ref="A1:Q98"/>
  <sheetViews>
    <sheetView workbookViewId="0">
      <selection sqref="A1:O98"/>
    </sheetView>
  </sheetViews>
  <sheetFormatPr defaultRowHeight="14.4" x14ac:dyDescent="0.3"/>
  <cols>
    <col min="1" max="1" width="14.5546875" customWidth="1"/>
  </cols>
  <sheetData>
    <row r="1" spans="1:17" x14ac:dyDescent="0.3">
      <c r="A1" s="5" t="s">
        <v>142</v>
      </c>
      <c r="B1" s="5" t="s">
        <v>143</v>
      </c>
      <c r="C1" s="5" t="s">
        <v>144</v>
      </c>
      <c r="D1" s="5" t="s">
        <v>145</v>
      </c>
      <c r="E1" s="5" t="s">
        <v>146</v>
      </c>
      <c r="F1" s="5" t="s">
        <v>147</v>
      </c>
      <c r="G1" s="5" t="s">
        <v>148</v>
      </c>
      <c r="H1" s="5" t="s">
        <v>149</v>
      </c>
      <c r="I1" s="5" t="s">
        <v>150</v>
      </c>
      <c r="J1" s="5" t="s">
        <v>151</v>
      </c>
      <c r="K1" s="5" t="s">
        <v>152</v>
      </c>
      <c r="L1" s="5" t="s">
        <v>153</v>
      </c>
      <c r="M1" s="5" t="s">
        <v>154</v>
      </c>
      <c r="N1" s="5" t="s">
        <v>155</v>
      </c>
      <c r="O1" s="41" t="s">
        <v>156</v>
      </c>
      <c r="P1" s="41" t="s">
        <v>157</v>
      </c>
      <c r="Q1" s="42" t="s">
        <v>158</v>
      </c>
    </row>
    <row r="3" spans="1:17" x14ac:dyDescent="0.3">
      <c r="A3" s="30" t="s">
        <v>159</v>
      </c>
      <c r="B3" s="30" t="s">
        <v>160</v>
      </c>
      <c r="C3" s="30" t="s">
        <v>160</v>
      </c>
      <c r="D3" s="30" t="s">
        <v>160</v>
      </c>
      <c r="E3" s="30" t="s">
        <v>161</v>
      </c>
      <c r="F3" s="30" t="s">
        <v>161</v>
      </c>
      <c r="G3" s="30" t="s">
        <v>161</v>
      </c>
      <c r="H3" s="30" t="s">
        <v>162</v>
      </c>
      <c r="I3" s="30" t="s">
        <v>163</v>
      </c>
      <c r="J3" s="30" t="s">
        <v>164</v>
      </c>
      <c r="K3" s="30"/>
      <c r="L3" s="30" t="s">
        <v>165</v>
      </c>
      <c r="M3" s="30" t="s">
        <v>166</v>
      </c>
      <c r="N3" s="30"/>
      <c r="O3" s="43" t="s">
        <v>167</v>
      </c>
      <c r="P3" s="43" t="s">
        <v>168</v>
      </c>
      <c r="Q3" s="44" t="s">
        <v>169</v>
      </c>
    </row>
    <row r="4" spans="1:17" x14ac:dyDescent="0.3">
      <c r="A4" s="45">
        <v>46177.010416666664</v>
      </c>
      <c r="B4" s="30">
        <v>241.02</v>
      </c>
      <c r="C4" s="30">
        <v>241.12</v>
      </c>
      <c r="D4" s="30">
        <v>241.37</v>
      </c>
      <c r="E4" s="30">
        <v>10.199999999999999</v>
      </c>
      <c r="F4" s="30">
        <v>10.4</v>
      </c>
      <c r="G4" s="30">
        <v>9.6</v>
      </c>
      <c r="H4" s="30">
        <v>1.78</v>
      </c>
      <c r="I4" s="30">
        <v>0</v>
      </c>
      <c r="J4" s="30">
        <v>1.83</v>
      </c>
      <c r="K4" s="30">
        <v>0.97299999999999998</v>
      </c>
      <c r="L4" s="30">
        <v>1</v>
      </c>
      <c r="M4" s="30">
        <v>2</v>
      </c>
      <c r="N4" s="30"/>
      <c r="O4" s="43">
        <f t="shared" ref="O4:O67" si="0">H4*4</f>
        <v>7.12</v>
      </c>
      <c r="P4" s="43" t="e">
        <f>SQRT([2]!Table1[[#This Row],[Column17]]*[2]!Table1[[#This Row],[Column17]]-[2]!Table1[[#This Row],[Column16]]*[2]!Table1[[#This Row],[Column16]])</f>
        <v>#REF!</v>
      </c>
      <c r="Q4" s="44" t="e">
        <f>[2]!Table1[[#This Row],[Column11]]*4</f>
        <v>#REF!</v>
      </c>
    </row>
    <row r="5" spans="1:17" x14ac:dyDescent="0.3">
      <c r="A5" s="46">
        <v>46177.020833333336</v>
      </c>
      <c r="B5" s="34">
        <v>237.48</v>
      </c>
      <c r="C5" s="34">
        <v>237.55</v>
      </c>
      <c r="D5" s="34">
        <v>237.76</v>
      </c>
      <c r="E5" s="34">
        <v>10.7</v>
      </c>
      <c r="F5" s="34">
        <v>9.9</v>
      </c>
      <c r="G5" s="34">
        <v>9.5</v>
      </c>
      <c r="H5" s="34">
        <v>1.76</v>
      </c>
      <c r="I5" s="34">
        <v>0</v>
      </c>
      <c r="J5" s="34">
        <v>1.8</v>
      </c>
      <c r="K5" s="34">
        <v>0.97799999999999998</v>
      </c>
      <c r="L5" s="34">
        <v>1</v>
      </c>
      <c r="M5" s="34">
        <v>2</v>
      </c>
      <c r="N5" s="34"/>
      <c r="O5" s="47">
        <f t="shared" si="0"/>
        <v>7.04</v>
      </c>
      <c r="P5" s="47" t="e">
        <f>SQRT([2]!Table1[[#This Row],[Column17]]*[2]!Table1[[#This Row],[Column17]]-[2]!Table1[[#This Row],[Column16]]*[2]!Table1[[#This Row],[Column16]])</f>
        <v>#REF!</v>
      </c>
      <c r="Q5" s="48" t="e">
        <f>[2]!Table1[[#This Row],[Column11]]*4</f>
        <v>#REF!</v>
      </c>
    </row>
    <row r="6" spans="1:17" x14ac:dyDescent="0.3">
      <c r="A6" s="45">
        <v>46177.03125</v>
      </c>
      <c r="B6" s="30">
        <v>234.57</v>
      </c>
      <c r="C6" s="30">
        <v>234.6</v>
      </c>
      <c r="D6" s="30">
        <v>234.8</v>
      </c>
      <c r="E6" s="30">
        <v>10.199999999999999</v>
      </c>
      <c r="F6" s="30">
        <v>10.6</v>
      </c>
      <c r="G6" s="30">
        <v>10.4</v>
      </c>
      <c r="H6" s="30">
        <v>1.81</v>
      </c>
      <c r="I6" s="30">
        <v>0</v>
      </c>
      <c r="J6" s="30">
        <v>1.84</v>
      </c>
      <c r="K6" s="30">
        <v>0.98399999999999999</v>
      </c>
      <c r="L6" s="30">
        <v>1</v>
      </c>
      <c r="M6" s="30">
        <v>2</v>
      </c>
      <c r="N6" s="30"/>
      <c r="O6" s="43">
        <f t="shared" si="0"/>
        <v>7.24</v>
      </c>
      <c r="P6" s="43" t="e">
        <f>SQRT([2]!Table1[[#This Row],[Column17]]*[2]!Table1[[#This Row],[Column17]]-[2]!Table1[[#This Row],[Column16]]*[2]!Table1[[#This Row],[Column16]])</f>
        <v>#REF!</v>
      </c>
      <c r="Q6" s="44" t="e">
        <f>[2]!Table1[[#This Row],[Column11]]*4</f>
        <v>#REF!</v>
      </c>
    </row>
    <row r="7" spans="1:17" x14ac:dyDescent="0.3">
      <c r="A7" s="46">
        <v>46177.041666666664</v>
      </c>
      <c r="B7" s="34">
        <v>235.01</v>
      </c>
      <c r="C7" s="34">
        <v>235.1</v>
      </c>
      <c r="D7" s="34">
        <v>235.21</v>
      </c>
      <c r="E7" s="34">
        <v>10.4</v>
      </c>
      <c r="F7" s="34">
        <v>8.9</v>
      </c>
      <c r="G7" s="34">
        <v>10.6</v>
      </c>
      <c r="H7" s="34">
        <v>1.73</v>
      </c>
      <c r="I7" s="34">
        <v>0</v>
      </c>
      <c r="J7" s="34">
        <v>1.77</v>
      </c>
      <c r="K7" s="34">
        <v>0.97699999999999998</v>
      </c>
      <c r="L7" s="34">
        <v>1</v>
      </c>
      <c r="M7" s="34">
        <v>2</v>
      </c>
      <c r="N7" s="34"/>
      <c r="O7" s="47">
        <f t="shared" si="0"/>
        <v>6.92</v>
      </c>
      <c r="P7" s="47" t="e">
        <f>SQRT([2]!Table1[[#This Row],[Column17]]*[2]!Table1[[#This Row],[Column17]]-[2]!Table1[[#This Row],[Column16]]*[2]!Table1[[#This Row],[Column16]])</f>
        <v>#REF!</v>
      </c>
      <c r="Q7" s="48" t="e">
        <f>[2]!Table1[[#This Row],[Column11]]*4</f>
        <v>#REF!</v>
      </c>
    </row>
    <row r="8" spans="1:17" x14ac:dyDescent="0.3">
      <c r="A8" s="45">
        <v>46177.052083333336</v>
      </c>
      <c r="B8" s="30">
        <v>235.38</v>
      </c>
      <c r="C8" s="30">
        <v>235.45</v>
      </c>
      <c r="D8" s="30">
        <v>235.61</v>
      </c>
      <c r="E8" s="30">
        <v>11.5</v>
      </c>
      <c r="F8" s="30">
        <v>9.8000000000000007</v>
      </c>
      <c r="G8" s="30">
        <v>9.9</v>
      </c>
      <c r="H8" s="30">
        <v>1.82</v>
      </c>
      <c r="I8" s="30">
        <v>0</v>
      </c>
      <c r="J8" s="30">
        <v>1.85</v>
      </c>
      <c r="K8" s="30">
        <v>0.98399999999999999</v>
      </c>
      <c r="L8" s="30">
        <v>1</v>
      </c>
      <c r="M8" s="30">
        <v>2</v>
      </c>
      <c r="N8" s="30"/>
      <c r="O8" s="43">
        <f t="shared" si="0"/>
        <v>7.28</v>
      </c>
      <c r="P8" s="43" t="e">
        <f>SQRT([2]!Table1[[#This Row],[Column17]]*[2]!Table1[[#This Row],[Column17]]-[2]!Table1[[#This Row],[Column16]]*[2]!Table1[[#This Row],[Column16]])</f>
        <v>#REF!</v>
      </c>
      <c r="Q8" s="44" t="e">
        <f>[2]!Table1[[#This Row],[Column11]]*4</f>
        <v>#REF!</v>
      </c>
    </row>
    <row r="9" spans="1:17" x14ac:dyDescent="0.3">
      <c r="A9" s="46">
        <v>46177.0625</v>
      </c>
      <c r="B9" s="34">
        <v>235.74</v>
      </c>
      <c r="C9" s="34">
        <v>235.78</v>
      </c>
      <c r="D9" s="34">
        <v>235.95</v>
      </c>
      <c r="E9" s="34">
        <v>8.6</v>
      </c>
      <c r="F9" s="34">
        <v>8.6</v>
      </c>
      <c r="G9" s="34">
        <v>8.6</v>
      </c>
      <c r="H9" s="34">
        <v>1.5</v>
      </c>
      <c r="I9" s="34">
        <v>0</v>
      </c>
      <c r="J9" s="34">
        <v>1.53</v>
      </c>
      <c r="K9" s="34">
        <v>0.98</v>
      </c>
      <c r="L9" s="34">
        <v>1</v>
      </c>
      <c r="M9" s="34">
        <v>2</v>
      </c>
      <c r="N9" s="34"/>
      <c r="O9" s="47">
        <f t="shared" si="0"/>
        <v>6</v>
      </c>
      <c r="P9" s="47" t="e">
        <f>SQRT([2]!Table1[[#This Row],[Column17]]*[2]!Table1[[#This Row],[Column17]]-[2]!Table1[[#This Row],[Column16]]*[2]!Table1[[#This Row],[Column16]])</f>
        <v>#REF!</v>
      </c>
      <c r="Q9" s="48" t="e">
        <f>[2]!Table1[[#This Row],[Column11]]*4</f>
        <v>#REF!</v>
      </c>
    </row>
    <row r="10" spans="1:17" x14ac:dyDescent="0.3">
      <c r="A10" s="45">
        <v>46177.072916666664</v>
      </c>
      <c r="B10" s="30">
        <v>236.15</v>
      </c>
      <c r="C10" s="30">
        <v>236.19</v>
      </c>
      <c r="D10" s="30">
        <v>236.41</v>
      </c>
      <c r="E10" s="30">
        <v>8.5</v>
      </c>
      <c r="F10" s="30">
        <v>8.3000000000000007</v>
      </c>
      <c r="G10" s="30">
        <v>7.5</v>
      </c>
      <c r="H10" s="30">
        <v>1.41</v>
      </c>
      <c r="I10" s="30">
        <v>0</v>
      </c>
      <c r="J10" s="30">
        <v>1.45</v>
      </c>
      <c r="K10" s="30">
        <v>0.97199999999999998</v>
      </c>
      <c r="L10" s="30">
        <v>1</v>
      </c>
      <c r="M10" s="30">
        <v>2</v>
      </c>
      <c r="N10" s="30"/>
      <c r="O10" s="43">
        <f t="shared" si="0"/>
        <v>5.64</v>
      </c>
      <c r="P10" s="43" t="e">
        <f>SQRT([2]!Table1[[#This Row],[Column17]]*[2]!Table1[[#This Row],[Column17]]-[2]!Table1[[#This Row],[Column16]]*[2]!Table1[[#This Row],[Column16]])</f>
        <v>#REF!</v>
      </c>
      <c r="Q10" s="44" t="e">
        <f>[2]!Table1[[#This Row],[Column11]]*4</f>
        <v>#REF!</v>
      </c>
    </row>
    <row r="11" spans="1:17" x14ac:dyDescent="0.3">
      <c r="A11" s="46">
        <v>46177.083333333336</v>
      </c>
      <c r="B11" s="34">
        <v>236.54</v>
      </c>
      <c r="C11" s="34">
        <v>236.56</v>
      </c>
      <c r="D11" s="34">
        <v>236.77</v>
      </c>
      <c r="E11" s="34">
        <v>8.6999999999999993</v>
      </c>
      <c r="F11" s="34">
        <v>8.3000000000000007</v>
      </c>
      <c r="G11" s="49">
        <v>0.375</v>
      </c>
      <c r="H11" s="34">
        <v>1.51</v>
      </c>
      <c r="I11" s="34">
        <v>0</v>
      </c>
      <c r="J11" s="34">
        <v>1.54</v>
      </c>
      <c r="K11" s="34">
        <v>0.98099999999999998</v>
      </c>
      <c r="L11" s="34">
        <v>1</v>
      </c>
      <c r="M11" s="34">
        <v>2</v>
      </c>
      <c r="N11" s="34"/>
      <c r="O11" s="47">
        <f t="shared" si="0"/>
        <v>6.04</v>
      </c>
      <c r="P11" s="47" t="e">
        <f>SQRT([2]!Table1[[#This Row],[Column17]]*[2]!Table1[[#This Row],[Column17]]-[2]!Table1[[#This Row],[Column16]]*[2]!Table1[[#This Row],[Column16]])</f>
        <v>#REF!</v>
      </c>
      <c r="Q11" s="48" t="e">
        <f>[2]!Table1[[#This Row],[Column11]]*4</f>
        <v>#REF!</v>
      </c>
    </row>
    <row r="12" spans="1:17" x14ac:dyDescent="0.3">
      <c r="A12" s="45">
        <v>46177.09375</v>
      </c>
      <c r="B12" s="30">
        <v>236.87</v>
      </c>
      <c r="C12" s="30">
        <v>236.9</v>
      </c>
      <c r="D12" s="30">
        <v>237.16</v>
      </c>
      <c r="E12" s="30">
        <v>8.4</v>
      </c>
      <c r="F12" s="30">
        <v>9.1</v>
      </c>
      <c r="G12" s="50">
        <v>0.33333333333333331</v>
      </c>
      <c r="H12" s="30">
        <v>1.49</v>
      </c>
      <c r="I12" s="30">
        <v>0</v>
      </c>
      <c r="J12" s="30">
        <v>1.52</v>
      </c>
      <c r="K12" s="30">
        <v>0.98</v>
      </c>
      <c r="L12" s="30">
        <v>1</v>
      </c>
      <c r="M12" s="30">
        <v>2</v>
      </c>
      <c r="N12" s="30"/>
      <c r="O12" s="43">
        <f t="shared" si="0"/>
        <v>5.96</v>
      </c>
      <c r="P12" s="43" t="e">
        <f>SQRT([2]!Table1[[#This Row],[Column17]]*[2]!Table1[[#This Row],[Column17]]-[2]!Table1[[#This Row],[Column16]]*[2]!Table1[[#This Row],[Column16]])</f>
        <v>#REF!</v>
      </c>
      <c r="Q12" s="44" t="e">
        <f>[2]!Table1[[#This Row],[Column11]]*4</f>
        <v>#REF!</v>
      </c>
    </row>
    <row r="13" spans="1:17" x14ac:dyDescent="0.3">
      <c r="A13" s="46">
        <v>46177.104166666664</v>
      </c>
      <c r="B13" s="34">
        <v>236.9</v>
      </c>
      <c r="C13" s="34">
        <v>236.99</v>
      </c>
      <c r="D13" s="34">
        <v>237.23</v>
      </c>
      <c r="E13" s="34">
        <v>8.6999999999999993</v>
      </c>
      <c r="F13" s="34">
        <v>8.1</v>
      </c>
      <c r="G13" s="34">
        <v>6.7</v>
      </c>
      <c r="H13" s="34">
        <v>1.37</v>
      </c>
      <c r="I13" s="34">
        <v>0</v>
      </c>
      <c r="J13" s="34">
        <v>1.4</v>
      </c>
      <c r="K13" s="34">
        <v>0.97899999999999998</v>
      </c>
      <c r="L13" s="34">
        <v>1</v>
      </c>
      <c r="M13" s="34">
        <v>2</v>
      </c>
      <c r="N13" s="34"/>
      <c r="O13" s="47">
        <f t="shared" si="0"/>
        <v>5.48</v>
      </c>
      <c r="P13" s="47" t="e">
        <f>SQRT([2]!Table1[[#This Row],[Column17]]*[2]!Table1[[#This Row],[Column17]]-[2]!Table1[[#This Row],[Column16]]*[2]!Table1[[#This Row],[Column16]])</f>
        <v>#REF!</v>
      </c>
      <c r="Q13" s="48" t="e">
        <f>[2]!Table1[[#This Row],[Column11]]*4</f>
        <v>#REF!</v>
      </c>
    </row>
    <row r="14" spans="1:17" x14ac:dyDescent="0.3">
      <c r="A14" s="45">
        <v>46177.114583333336</v>
      </c>
      <c r="B14" s="30">
        <v>237.34</v>
      </c>
      <c r="C14" s="30">
        <v>237.38</v>
      </c>
      <c r="D14" s="30">
        <v>237.61</v>
      </c>
      <c r="E14" s="30">
        <v>8.1</v>
      </c>
      <c r="F14" s="30">
        <v>9.3000000000000007</v>
      </c>
      <c r="G14" s="30">
        <v>8.5</v>
      </c>
      <c r="H14" s="30">
        <v>1.52</v>
      </c>
      <c r="I14" s="30">
        <v>0</v>
      </c>
      <c r="J14" s="30">
        <v>1.55</v>
      </c>
      <c r="K14" s="30">
        <v>0.98099999999999998</v>
      </c>
      <c r="L14" s="30">
        <v>1</v>
      </c>
      <c r="M14" s="30">
        <v>2</v>
      </c>
      <c r="N14" s="30"/>
      <c r="O14" s="43">
        <f t="shared" si="0"/>
        <v>6.08</v>
      </c>
      <c r="P14" s="43" t="e">
        <f>SQRT([2]!Table1[[#This Row],[Column17]]*[2]!Table1[[#This Row],[Column17]]-[2]!Table1[[#This Row],[Column16]]*[2]!Table1[[#This Row],[Column16]])</f>
        <v>#REF!</v>
      </c>
      <c r="Q14" s="44" t="e">
        <f>[2]!Table1[[#This Row],[Column11]]*4</f>
        <v>#REF!</v>
      </c>
    </row>
    <row r="15" spans="1:17" x14ac:dyDescent="0.3">
      <c r="A15" s="46">
        <v>46177.125</v>
      </c>
      <c r="B15" s="34">
        <v>237.42</v>
      </c>
      <c r="C15" s="34">
        <v>237.51</v>
      </c>
      <c r="D15" s="34">
        <v>237.76</v>
      </c>
      <c r="E15" s="34">
        <v>7.9</v>
      </c>
      <c r="F15" s="34">
        <v>7.4</v>
      </c>
      <c r="G15" s="34">
        <v>6.5</v>
      </c>
      <c r="H15" s="34">
        <v>1.28</v>
      </c>
      <c r="I15" s="34">
        <v>0</v>
      </c>
      <c r="J15" s="34">
        <v>1.31</v>
      </c>
      <c r="K15" s="34">
        <v>0.97699999999999998</v>
      </c>
      <c r="L15" s="34">
        <v>1</v>
      </c>
      <c r="M15" s="34">
        <v>2</v>
      </c>
      <c r="N15" s="34"/>
      <c r="O15" s="47">
        <f t="shared" si="0"/>
        <v>5.12</v>
      </c>
      <c r="P15" s="47" t="e">
        <f>SQRT([2]!Table1[[#This Row],[Column17]]*[2]!Table1[[#This Row],[Column17]]-[2]!Table1[[#This Row],[Column16]]*[2]!Table1[[#This Row],[Column16]])</f>
        <v>#REF!</v>
      </c>
      <c r="Q15" s="48" t="e">
        <f>[2]!Table1[[#This Row],[Column11]]*4</f>
        <v>#REF!</v>
      </c>
    </row>
    <row r="16" spans="1:17" x14ac:dyDescent="0.3">
      <c r="A16" s="45">
        <v>46177.135416666664</v>
      </c>
      <c r="B16" s="30">
        <v>237.56</v>
      </c>
      <c r="C16" s="30">
        <v>237.7</v>
      </c>
      <c r="D16" s="30">
        <v>238.01</v>
      </c>
      <c r="E16" s="30">
        <v>7.5</v>
      </c>
      <c r="F16" s="30">
        <v>7.3</v>
      </c>
      <c r="G16" s="50">
        <v>0.25</v>
      </c>
      <c r="H16" s="30">
        <v>1.22</v>
      </c>
      <c r="I16" s="30">
        <v>0</v>
      </c>
      <c r="J16" s="30">
        <v>1.25</v>
      </c>
      <c r="K16" s="30">
        <v>0.97599999999999998</v>
      </c>
      <c r="L16" s="30">
        <v>1</v>
      </c>
      <c r="M16" s="30">
        <v>2</v>
      </c>
      <c r="N16" s="30"/>
      <c r="O16" s="43">
        <f t="shared" si="0"/>
        <v>4.88</v>
      </c>
      <c r="P16" s="43" t="e">
        <f>SQRT([2]!Table1[[#This Row],[Column17]]*[2]!Table1[[#This Row],[Column17]]-[2]!Table1[[#This Row],[Column16]]*[2]!Table1[[#This Row],[Column16]])</f>
        <v>#REF!</v>
      </c>
      <c r="Q16" s="44" t="e">
        <f>[2]!Table1[[#This Row],[Column11]]*4</f>
        <v>#REF!</v>
      </c>
    </row>
    <row r="17" spans="1:17" x14ac:dyDescent="0.3">
      <c r="A17" s="46">
        <v>46177.145833333336</v>
      </c>
      <c r="B17" s="34">
        <v>238.13</v>
      </c>
      <c r="C17" s="34">
        <v>238.23</v>
      </c>
      <c r="D17" s="34">
        <v>238.53</v>
      </c>
      <c r="E17" s="34">
        <v>7.3</v>
      </c>
      <c r="F17" s="34">
        <v>7.4</v>
      </c>
      <c r="G17" s="34">
        <v>5.8</v>
      </c>
      <c r="H17" s="34">
        <v>1.21</v>
      </c>
      <c r="I17" s="34">
        <v>0</v>
      </c>
      <c r="J17" s="34">
        <v>1.23</v>
      </c>
      <c r="K17" s="34">
        <v>0.98399999999999999</v>
      </c>
      <c r="L17" s="34">
        <v>1</v>
      </c>
      <c r="M17" s="34">
        <v>2</v>
      </c>
      <c r="N17" s="34"/>
      <c r="O17" s="47">
        <f t="shared" si="0"/>
        <v>4.84</v>
      </c>
      <c r="P17" s="47" t="e">
        <f>SQRT([2]!Table1[[#This Row],[Column17]]*[2]!Table1[[#This Row],[Column17]]-[2]!Table1[[#This Row],[Column16]]*[2]!Table1[[#This Row],[Column16]])</f>
        <v>#REF!</v>
      </c>
      <c r="Q17" s="48" t="e">
        <f>[2]!Table1[[#This Row],[Column11]]*4</f>
        <v>#REF!</v>
      </c>
    </row>
    <row r="18" spans="1:17" x14ac:dyDescent="0.3">
      <c r="A18" s="45">
        <v>46177.15625</v>
      </c>
      <c r="B18" s="30">
        <v>237.63</v>
      </c>
      <c r="C18" s="30">
        <v>237.72</v>
      </c>
      <c r="D18" s="30">
        <v>238.07</v>
      </c>
      <c r="E18" s="30">
        <v>7.4</v>
      </c>
      <c r="F18" s="30">
        <v>8.1</v>
      </c>
      <c r="G18" s="30">
        <v>5.8</v>
      </c>
      <c r="H18" s="30">
        <v>1.25</v>
      </c>
      <c r="I18" s="30">
        <v>0</v>
      </c>
      <c r="J18" s="30">
        <v>1.27</v>
      </c>
      <c r="K18" s="30">
        <v>0.98399999999999999</v>
      </c>
      <c r="L18" s="30">
        <v>1</v>
      </c>
      <c r="M18" s="30">
        <v>2</v>
      </c>
      <c r="N18" s="30"/>
      <c r="O18" s="43">
        <f t="shared" si="0"/>
        <v>5</v>
      </c>
      <c r="P18" s="43" t="e">
        <f>SQRT([2]!Table1[[#This Row],[Column17]]*[2]!Table1[[#This Row],[Column17]]-[2]!Table1[[#This Row],[Column16]]*[2]!Table1[[#This Row],[Column16]])</f>
        <v>#REF!</v>
      </c>
      <c r="Q18" s="44" t="e">
        <f>[2]!Table1[[#This Row],[Column11]]*4</f>
        <v>#REF!</v>
      </c>
    </row>
    <row r="19" spans="1:17" x14ac:dyDescent="0.3">
      <c r="A19" s="46">
        <v>46177.166666666664</v>
      </c>
      <c r="B19" s="34">
        <v>237.74</v>
      </c>
      <c r="C19" s="34">
        <v>237.84</v>
      </c>
      <c r="D19" s="34">
        <v>238.09</v>
      </c>
      <c r="E19" s="34">
        <v>7.4</v>
      </c>
      <c r="F19" s="34">
        <v>7.2</v>
      </c>
      <c r="G19" s="34">
        <v>5.8</v>
      </c>
      <c r="H19" s="34">
        <v>1.21</v>
      </c>
      <c r="I19" s="34">
        <v>0</v>
      </c>
      <c r="J19" s="34">
        <v>1.23</v>
      </c>
      <c r="K19" s="34">
        <v>0.98399999999999999</v>
      </c>
      <c r="L19" s="34">
        <v>1</v>
      </c>
      <c r="M19" s="34">
        <v>2</v>
      </c>
      <c r="N19" s="34"/>
      <c r="O19" s="47">
        <f t="shared" si="0"/>
        <v>4.84</v>
      </c>
      <c r="P19" s="47" t="e">
        <f>SQRT([2]!Table1[[#This Row],[Column17]]*[2]!Table1[[#This Row],[Column17]]-[2]!Table1[[#This Row],[Column16]]*[2]!Table1[[#This Row],[Column16]])</f>
        <v>#REF!</v>
      </c>
      <c r="Q19" s="48" t="e">
        <f>[2]!Table1[[#This Row],[Column11]]*4</f>
        <v>#REF!</v>
      </c>
    </row>
    <row r="20" spans="1:17" x14ac:dyDescent="0.3">
      <c r="A20" s="45">
        <v>46177.177083333336</v>
      </c>
      <c r="B20" s="30">
        <v>237.57</v>
      </c>
      <c r="C20" s="30">
        <v>237.66</v>
      </c>
      <c r="D20" s="30">
        <v>237.92</v>
      </c>
      <c r="E20" s="30">
        <v>7.5</v>
      </c>
      <c r="F20" s="50">
        <v>0.29166666666666669</v>
      </c>
      <c r="G20" s="30">
        <v>6.1</v>
      </c>
      <c r="H20" s="30">
        <v>1.22</v>
      </c>
      <c r="I20" s="30">
        <v>0</v>
      </c>
      <c r="J20" s="30">
        <v>1.24</v>
      </c>
      <c r="K20" s="30">
        <v>0.98399999999999999</v>
      </c>
      <c r="L20" s="30">
        <v>1</v>
      </c>
      <c r="M20" s="30">
        <v>2</v>
      </c>
      <c r="N20" s="30"/>
      <c r="O20" s="43">
        <f t="shared" si="0"/>
        <v>4.88</v>
      </c>
      <c r="P20" s="43" t="e">
        <f>SQRT([2]!Table1[[#This Row],[Column17]]*[2]!Table1[[#This Row],[Column17]]-[2]!Table1[[#This Row],[Column16]]*[2]!Table1[[#This Row],[Column16]])</f>
        <v>#REF!</v>
      </c>
      <c r="Q20" s="44" t="e">
        <f>[2]!Table1[[#This Row],[Column11]]*4</f>
        <v>#REF!</v>
      </c>
    </row>
    <row r="21" spans="1:17" x14ac:dyDescent="0.3">
      <c r="A21" s="46">
        <v>46177.1875</v>
      </c>
      <c r="B21" s="34">
        <v>236.66</v>
      </c>
      <c r="C21" s="34">
        <v>236.71</v>
      </c>
      <c r="D21" s="34">
        <v>237.04</v>
      </c>
      <c r="E21" s="34">
        <v>7.4</v>
      </c>
      <c r="F21" s="34">
        <v>9.1</v>
      </c>
      <c r="G21" s="34">
        <v>6.1</v>
      </c>
      <c r="H21" s="34">
        <v>1.33</v>
      </c>
      <c r="I21" s="34">
        <v>0</v>
      </c>
      <c r="J21" s="34">
        <v>1.35</v>
      </c>
      <c r="K21" s="34">
        <v>0.98499999999999999</v>
      </c>
      <c r="L21" s="34">
        <v>1</v>
      </c>
      <c r="M21" s="34">
        <v>2</v>
      </c>
      <c r="N21" s="34"/>
      <c r="O21" s="47">
        <f t="shared" si="0"/>
        <v>5.32</v>
      </c>
      <c r="P21" s="47" t="e">
        <f>SQRT([2]!Table1[[#This Row],[Column17]]*[2]!Table1[[#This Row],[Column17]]-[2]!Table1[[#This Row],[Column16]]*[2]!Table1[[#This Row],[Column16]])</f>
        <v>#REF!</v>
      </c>
      <c r="Q21" s="48" t="e">
        <f>[2]!Table1[[#This Row],[Column11]]*4</f>
        <v>#REF!</v>
      </c>
    </row>
    <row r="22" spans="1:17" x14ac:dyDescent="0.3">
      <c r="A22" s="45">
        <v>46177.197916666664</v>
      </c>
      <c r="B22" s="30">
        <v>235.64</v>
      </c>
      <c r="C22" s="30">
        <v>235.71</v>
      </c>
      <c r="D22" s="30">
        <v>235.99</v>
      </c>
      <c r="E22" s="30">
        <v>7.1</v>
      </c>
      <c r="F22" s="50">
        <v>0.29166666666666669</v>
      </c>
      <c r="G22" s="30">
        <v>6.1</v>
      </c>
      <c r="H22" s="30">
        <v>1.18</v>
      </c>
      <c r="I22" s="30">
        <v>0</v>
      </c>
      <c r="J22" s="30">
        <v>1.2</v>
      </c>
      <c r="K22" s="30">
        <v>0.98299999999999998</v>
      </c>
      <c r="L22" s="30">
        <v>1</v>
      </c>
      <c r="M22" s="30">
        <v>2</v>
      </c>
      <c r="N22" s="30"/>
      <c r="O22" s="43">
        <f t="shared" si="0"/>
        <v>4.72</v>
      </c>
      <c r="P22" s="43" t="e">
        <f>SQRT([2]!Table1[[#This Row],[Column17]]*[2]!Table1[[#This Row],[Column17]]-[2]!Table1[[#This Row],[Column16]]*[2]!Table1[[#This Row],[Column16]])</f>
        <v>#REF!</v>
      </c>
      <c r="Q22" s="44" t="e">
        <f>[2]!Table1[[#This Row],[Column11]]*4</f>
        <v>#REF!</v>
      </c>
    </row>
    <row r="23" spans="1:17" x14ac:dyDescent="0.3">
      <c r="A23" s="46">
        <v>46177.208333333336</v>
      </c>
      <c r="B23" s="34">
        <v>234.4</v>
      </c>
      <c r="C23" s="34">
        <v>234.52</v>
      </c>
      <c r="D23" s="34">
        <v>234.71</v>
      </c>
      <c r="E23" s="49">
        <v>0.29166666666666669</v>
      </c>
      <c r="F23" s="34">
        <v>6.8</v>
      </c>
      <c r="G23" s="49">
        <v>0.25</v>
      </c>
      <c r="H23" s="34">
        <v>1.1399999999999999</v>
      </c>
      <c r="I23" s="34">
        <v>0</v>
      </c>
      <c r="J23" s="34">
        <v>1.17</v>
      </c>
      <c r="K23" s="34">
        <v>0.97399999999999998</v>
      </c>
      <c r="L23" s="34">
        <v>1</v>
      </c>
      <c r="M23" s="34">
        <v>2</v>
      </c>
      <c r="N23" s="34"/>
      <c r="O23" s="47">
        <f t="shared" si="0"/>
        <v>4.5599999999999996</v>
      </c>
      <c r="P23" s="47" t="e">
        <f>SQRT([2]!Table1[[#This Row],[Column17]]*[2]!Table1[[#This Row],[Column17]]-[2]!Table1[[#This Row],[Column16]]*[2]!Table1[[#This Row],[Column16]])</f>
        <v>#REF!</v>
      </c>
      <c r="Q23" s="48" t="e">
        <f>[2]!Table1[[#This Row],[Column11]]*4</f>
        <v>#REF!</v>
      </c>
    </row>
    <row r="24" spans="1:17" x14ac:dyDescent="0.3">
      <c r="A24" s="45">
        <v>46177.21875</v>
      </c>
      <c r="B24" s="30">
        <v>234.29</v>
      </c>
      <c r="C24" s="30">
        <v>234.39</v>
      </c>
      <c r="D24" s="30">
        <v>234.54</v>
      </c>
      <c r="E24" s="30">
        <v>7.1</v>
      </c>
      <c r="F24" s="30">
        <v>6.7</v>
      </c>
      <c r="G24" s="50">
        <v>0.25</v>
      </c>
      <c r="H24" s="30">
        <v>1.1499999999999999</v>
      </c>
      <c r="I24" s="30">
        <v>0</v>
      </c>
      <c r="J24" s="30">
        <v>1.17</v>
      </c>
      <c r="K24" s="30">
        <v>0.98299999999999998</v>
      </c>
      <c r="L24" s="30">
        <v>1</v>
      </c>
      <c r="M24" s="30">
        <v>2</v>
      </c>
      <c r="N24" s="30"/>
      <c r="O24" s="43">
        <f t="shared" si="0"/>
        <v>4.5999999999999996</v>
      </c>
      <c r="P24" s="43" t="e">
        <f>SQRT([2]!Table1[[#This Row],[Column17]]*[2]!Table1[[#This Row],[Column17]]-[2]!Table1[[#This Row],[Column16]]*[2]!Table1[[#This Row],[Column16]])</f>
        <v>#REF!</v>
      </c>
      <c r="Q24" s="44" t="e">
        <f>[2]!Table1[[#This Row],[Column11]]*4</f>
        <v>#REF!</v>
      </c>
    </row>
    <row r="25" spans="1:17" x14ac:dyDescent="0.3">
      <c r="A25" s="46">
        <v>46177.229166666664</v>
      </c>
      <c r="B25" s="34">
        <v>234.28</v>
      </c>
      <c r="C25" s="34">
        <v>234.26</v>
      </c>
      <c r="D25" s="34">
        <v>234.36</v>
      </c>
      <c r="E25" s="49">
        <v>0.29166666666666669</v>
      </c>
      <c r="F25" s="34">
        <v>6.7</v>
      </c>
      <c r="G25" s="34">
        <v>6.1</v>
      </c>
      <c r="H25" s="34">
        <v>1.1499999999999999</v>
      </c>
      <c r="I25" s="34">
        <v>0</v>
      </c>
      <c r="J25" s="34">
        <v>1.18</v>
      </c>
      <c r="K25" s="34">
        <v>0.97499999999999998</v>
      </c>
      <c r="L25" s="34">
        <v>1</v>
      </c>
      <c r="M25" s="34">
        <v>2</v>
      </c>
      <c r="N25" s="34"/>
      <c r="O25" s="47">
        <f t="shared" si="0"/>
        <v>4.5999999999999996</v>
      </c>
      <c r="P25" s="47" t="e">
        <f>SQRT([2]!Table1[[#This Row],[Column17]]*[2]!Table1[[#This Row],[Column17]]-[2]!Table1[[#This Row],[Column16]]*[2]!Table1[[#This Row],[Column16]])</f>
        <v>#REF!</v>
      </c>
      <c r="Q25" s="48" t="e">
        <f>[2]!Table1[[#This Row],[Column11]]*4</f>
        <v>#REF!</v>
      </c>
    </row>
    <row r="26" spans="1:17" x14ac:dyDescent="0.3">
      <c r="A26" s="45">
        <v>46177.239583333336</v>
      </c>
      <c r="B26" s="30">
        <v>236.09</v>
      </c>
      <c r="C26" s="30">
        <v>236.31</v>
      </c>
      <c r="D26" s="30">
        <v>236.14</v>
      </c>
      <c r="E26" s="50">
        <v>0.29166666666666669</v>
      </c>
      <c r="F26" s="30">
        <v>6.6</v>
      </c>
      <c r="G26" s="30">
        <v>5.9</v>
      </c>
      <c r="H26" s="30">
        <v>1.1299999999999999</v>
      </c>
      <c r="I26" s="30">
        <v>0</v>
      </c>
      <c r="J26" s="30">
        <v>1.1599999999999999</v>
      </c>
      <c r="K26" s="30">
        <v>0.97399999999999998</v>
      </c>
      <c r="L26" s="30">
        <v>1</v>
      </c>
      <c r="M26" s="30">
        <v>2</v>
      </c>
      <c r="N26" s="30"/>
      <c r="O26" s="43">
        <f t="shared" si="0"/>
        <v>4.5199999999999996</v>
      </c>
      <c r="P26" s="43" t="e">
        <f>SQRT([2]!Table1[[#This Row],[Column17]]*[2]!Table1[[#This Row],[Column17]]-[2]!Table1[[#This Row],[Column16]]*[2]!Table1[[#This Row],[Column16]])</f>
        <v>#REF!</v>
      </c>
      <c r="Q26" s="44" t="e">
        <f>[2]!Table1[[#This Row],[Column11]]*4</f>
        <v>#REF!</v>
      </c>
    </row>
    <row r="27" spans="1:17" x14ac:dyDescent="0.3">
      <c r="A27" s="46">
        <v>46177.25</v>
      </c>
      <c r="B27" s="34">
        <v>235.01</v>
      </c>
      <c r="C27" s="34">
        <v>235.23</v>
      </c>
      <c r="D27" s="34">
        <v>235.23</v>
      </c>
      <c r="E27" s="34">
        <v>6.5</v>
      </c>
      <c r="F27" s="34">
        <v>6.5</v>
      </c>
      <c r="G27" s="49">
        <v>0.25</v>
      </c>
      <c r="H27" s="34">
        <v>1.1000000000000001</v>
      </c>
      <c r="I27" s="34">
        <v>0</v>
      </c>
      <c r="J27" s="34">
        <v>1.1299999999999999</v>
      </c>
      <c r="K27" s="34">
        <v>0.97299999999999998</v>
      </c>
      <c r="L27" s="34">
        <v>1</v>
      </c>
      <c r="M27" s="34">
        <v>2</v>
      </c>
      <c r="N27" s="34"/>
      <c r="O27" s="47">
        <f t="shared" si="0"/>
        <v>4.4000000000000004</v>
      </c>
      <c r="P27" s="47" t="e">
        <f>SQRT([2]!Table1[[#This Row],[Column17]]*[2]!Table1[[#This Row],[Column17]]-[2]!Table1[[#This Row],[Column16]]*[2]!Table1[[#This Row],[Column16]])</f>
        <v>#REF!</v>
      </c>
      <c r="Q27" s="48" t="e">
        <f>[2]!Table1[[#This Row],[Column11]]*4</f>
        <v>#REF!</v>
      </c>
    </row>
    <row r="28" spans="1:17" x14ac:dyDescent="0.3">
      <c r="A28" s="45">
        <v>46177.260416666664</v>
      </c>
      <c r="B28" s="30">
        <v>234.08</v>
      </c>
      <c r="C28" s="30">
        <v>234.11</v>
      </c>
      <c r="D28" s="30">
        <v>234.32</v>
      </c>
      <c r="E28" s="30">
        <v>6.1</v>
      </c>
      <c r="F28" s="30">
        <v>7.6</v>
      </c>
      <c r="G28" s="30">
        <v>5.8</v>
      </c>
      <c r="H28" s="30">
        <v>1.1200000000000001</v>
      </c>
      <c r="I28" s="30">
        <v>0</v>
      </c>
      <c r="J28" s="30">
        <v>1.1499999999999999</v>
      </c>
      <c r="K28" s="30">
        <v>0.97399999999999998</v>
      </c>
      <c r="L28" s="30">
        <v>1</v>
      </c>
      <c r="M28" s="30">
        <v>2</v>
      </c>
      <c r="N28" s="30"/>
      <c r="O28" s="43">
        <f t="shared" si="0"/>
        <v>4.4800000000000004</v>
      </c>
      <c r="P28" s="43" t="e">
        <f>SQRT([2]!Table1[[#This Row],[Column17]]*[2]!Table1[[#This Row],[Column17]]-[2]!Table1[[#This Row],[Column16]]*[2]!Table1[[#This Row],[Column16]])</f>
        <v>#REF!</v>
      </c>
      <c r="Q28" s="44" t="e">
        <f>[2]!Table1[[#This Row],[Column11]]*4</f>
        <v>#REF!</v>
      </c>
    </row>
    <row r="29" spans="1:17" x14ac:dyDescent="0.3">
      <c r="A29" s="46">
        <v>46177.270833333336</v>
      </c>
      <c r="B29" s="34">
        <v>234.83</v>
      </c>
      <c r="C29" s="34">
        <v>234.97</v>
      </c>
      <c r="D29" s="34">
        <v>234.96</v>
      </c>
      <c r="E29" s="34">
        <v>6.6</v>
      </c>
      <c r="F29" s="34">
        <v>7.8</v>
      </c>
      <c r="G29" s="34">
        <v>5.8</v>
      </c>
      <c r="H29" s="34">
        <v>1.17</v>
      </c>
      <c r="I29" s="34">
        <v>0</v>
      </c>
      <c r="J29" s="34">
        <v>1.2</v>
      </c>
      <c r="K29" s="34">
        <v>0.97499999999999998</v>
      </c>
      <c r="L29" s="34">
        <v>1</v>
      </c>
      <c r="M29" s="34">
        <v>2</v>
      </c>
      <c r="N29" s="34"/>
      <c r="O29" s="47">
        <f t="shared" si="0"/>
        <v>4.68</v>
      </c>
      <c r="P29" s="47" t="e">
        <f>SQRT([2]!Table1[[#This Row],[Column17]]*[2]!Table1[[#This Row],[Column17]]-[2]!Table1[[#This Row],[Column16]]*[2]!Table1[[#This Row],[Column16]])</f>
        <v>#REF!</v>
      </c>
      <c r="Q29" s="48" t="e">
        <f>[2]!Table1[[#This Row],[Column11]]*4</f>
        <v>#REF!</v>
      </c>
    </row>
    <row r="30" spans="1:17" x14ac:dyDescent="0.3">
      <c r="A30" s="45">
        <v>46177.28125</v>
      </c>
      <c r="B30" s="30">
        <v>238.04</v>
      </c>
      <c r="C30" s="30">
        <v>238.1</v>
      </c>
      <c r="D30" s="30">
        <v>238.51</v>
      </c>
      <c r="E30" s="30">
        <v>6.7</v>
      </c>
      <c r="F30" s="30">
        <v>8.6</v>
      </c>
      <c r="G30" s="30">
        <v>5.9</v>
      </c>
      <c r="H30" s="30">
        <v>1.24</v>
      </c>
      <c r="I30" s="30">
        <v>0</v>
      </c>
      <c r="J30" s="30">
        <v>1.27</v>
      </c>
      <c r="K30" s="30">
        <v>0.97599999999999998</v>
      </c>
      <c r="L30" s="30">
        <v>1</v>
      </c>
      <c r="M30" s="30">
        <v>2</v>
      </c>
      <c r="N30" s="30"/>
      <c r="O30" s="43">
        <f t="shared" si="0"/>
        <v>4.96</v>
      </c>
      <c r="P30" s="43" t="e">
        <f>SQRT([2]!Table1[[#This Row],[Column17]]*[2]!Table1[[#This Row],[Column17]]-[2]!Table1[[#This Row],[Column16]]*[2]!Table1[[#This Row],[Column16]])</f>
        <v>#REF!</v>
      </c>
      <c r="Q30" s="44" t="e">
        <f>[2]!Table1[[#This Row],[Column11]]*4</f>
        <v>#REF!</v>
      </c>
    </row>
    <row r="31" spans="1:17" x14ac:dyDescent="0.3">
      <c r="A31" s="46">
        <v>46177.291666666664</v>
      </c>
      <c r="B31" s="34">
        <v>241.1</v>
      </c>
      <c r="C31" s="34">
        <v>241.3</v>
      </c>
      <c r="D31" s="34">
        <v>242</v>
      </c>
      <c r="E31" s="34">
        <v>8.6999999999999993</v>
      </c>
      <c r="F31" s="34">
        <v>7.9</v>
      </c>
      <c r="G31" s="34">
        <v>5.8</v>
      </c>
      <c r="H31" s="34">
        <v>1.34</v>
      </c>
      <c r="I31" s="34">
        <v>0</v>
      </c>
      <c r="J31" s="34">
        <v>1.37</v>
      </c>
      <c r="K31" s="34">
        <v>0.97799999999999998</v>
      </c>
      <c r="L31" s="34">
        <v>1</v>
      </c>
      <c r="M31" s="34">
        <v>2</v>
      </c>
      <c r="N31" s="34"/>
      <c r="O31" s="47">
        <f t="shared" si="0"/>
        <v>5.36</v>
      </c>
      <c r="P31" s="47" t="e">
        <f>SQRT([2]!Table1[[#This Row],[Column17]]*[2]!Table1[[#This Row],[Column17]]-[2]!Table1[[#This Row],[Column16]]*[2]!Table1[[#This Row],[Column16]])</f>
        <v>#REF!</v>
      </c>
      <c r="Q31" s="48" t="e">
        <f>[2]!Table1[[#This Row],[Column11]]*4</f>
        <v>#REF!</v>
      </c>
    </row>
    <row r="32" spans="1:17" x14ac:dyDescent="0.3">
      <c r="A32" s="45">
        <v>46177.302083333336</v>
      </c>
      <c r="B32" s="30">
        <v>240.99</v>
      </c>
      <c r="C32" s="30">
        <v>241.42</v>
      </c>
      <c r="D32" s="30">
        <v>241.62</v>
      </c>
      <c r="E32" s="30">
        <v>8.4</v>
      </c>
      <c r="F32" s="30">
        <v>7.9</v>
      </c>
      <c r="G32" s="30">
        <v>7.5</v>
      </c>
      <c r="H32" s="30">
        <v>1.43</v>
      </c>
      <c r="I32" s="30">
        <v>0</v>
      </c>
      <c r="J32" s="30">
        <v>1.45</v>
      </c>
      <c r="K32" s="30">
        <v>0.98599999999999999</v>
      </c>
      <c r="L32" s="30">
        <v>1</v>
      </c>
      <c r="M32" s="30">
        <v>2</v>
      </c>
      <c r="N32" s="30"/>
      <c r="O32" s="43">
        <f t="shared" si="0"/>
        <v>5.72</v>
      </c>
      <c r="P32" s="43" t="e">
        <f>SQRT([2]!Table1[[#This Row],[Column17]]*[2]!Table1[[#This Row],[Column17]]-[2]!Table1[[#This Row],[Column16]]*[2]!Table1[[#This Row],[Column16]])</f>
        <v>#REF!</v>
      </c>
      <c r="Q32" s="44" t="e">
        <f>[2]!Table1[[#This Row],[Column11]]*4</f>
        <v>#REF!</v>
      </c>
    </row>
    <row r="33" spans="1:17" x14ac:dyDescent="0.3">
      <c r="A33" s="46">
        <v>46177.3125</v>
      </c>
      <c r="B33" s="34">
        <v>242.04</v>
      </c>
      <c r="C33" s="34">
        <v>242.77</v>
      </c>
      <c r="D33" s="34">
        <v>242.06</v>
      </c>
      <c r="E33" s="34">
        <v>7.8</v>
      </c>
      <c r="F33" s="34">
        <v>9.9</v>
      </c>
      <c r="G33" s="34">
        <v>8.6999999999999993</v>
      </c>
      <c r="H33" s="34">
        <v>1.6</v>
      </c>
      <c r="I33" s="34">
        <v>0</v>
      </c>
      <c r="J33" s="34">
        <v>1.62</v>
      </c>
      <c r="K33" s="34">
        <v>0.98799999999999999</v>
      </c>
      <c r="L33" s="34">
        <v>1</v>
      </c>
      <c r="M33" s="34">
        <v>2</v>
      </c>
      <c r="N33" s="34"/>
      <c r="O33" s="47">
        <f t="shared" si="0"/>
        <v>6.4</v>
      </c>
      <c r="P33" s="47" t="e">
        <f>SQRT([2]!Table1[[#This Row],[Column17]]*[2]!Table1[[#This Row],[Column17]]-[2]!Table1[[#This Row],[Column16]]*[2]!Table1[[#This Row],[Column16]])</f>
        <v>#REF!</v>
      </c>
      <c r="Q33" s="48" t="e">
        <f>[2]!Table1[[#This Row],[Column11]]*4</f>
        <v>#REF!</v>
      </c>
    </row>
    <row r="34" spans="1:17" x14ac:dyDescent="0.3">
      <c r="A34" s="45">
        <v>46177.322916666664</v>
      </c>
      <c r="B34" s="30">
        <v>241.41</v>
      </c>
      <c r="C34" s="30">
        <v>242.05</v>
      </c>
      <c r="D34" s="30">
        <v>241.26</v>
      </c>
      <c r="E34" s="30">
        <v>9.8000000000000007</v>
      </c>
      <c r="F34" s="50">
        <v>0.33333333333333331</v>
      </c>
      <c r="G34" s="50">
        <v>0.375</v>
      </c>
      <c r="H34" s="30">
        <v>1.62</v>
      </c>
      <c r="I34" s="30">
        <v>0</v>
      </c>
      <c r="J34" s="30">
        <v>1.63</v>
      </c>
      <c r="K34" s="30">
        <v>0.99399999999999999</v>
      </c>
      <c r="L34" s="30">
        <v>1</v>
      </c>
      <c r="M34" s="30">
        <v>2</v>
      </c>
      <c r="N34" s="30"/>
      <c r="O34" s="43">
        <f t="shared" si="0"/>
        <v>6.48</v>
      </c>
      <c r="P34" s="43" t="e">
        <f>SQRT([2]!Table1[[#This Row],[Column17]]*[2]!Table1[[#This Row],[Column17]]-[2]!Table1[[#This Row],[Column16]]*[2]!Table1[[#This Row],[Column16]])</f>
        <v>#REF!</v>
      </c>
      <c r="Q34" s="44" t="e">
        <f>[2]!Table1[[#This Row],[Column11]]*4</f>
        <v>#REF!</v>
      </c>
    </row>
    <row r="35" spans="1:17" x14ac:dyDescent="0.3">
      <c r="A35" s="46">
        <v>46177.333333333336</v>
      </c>
      <c r="B35" s="34">
        <v>240.91</v>
      </c>
      <c r="C35" s="34">
        <v>241.35</v>
      </c>
      <c r="D35" s="34">
        <v>240.58</v>
      </c>
      <c r="E35" s="34">
        <v>8.1</v>
      </c>
      <c r="F35" s="34">
        <v>9.8000000000000007</v>
      </c>
      <c r="G35" s="34">
        <v>11.2</v>
      </c>
      <c r="H35" s="34">
        <v>1.75</v>
      </c>
      <c r="I35" s="34">
        <v>0</v>
      </c>
      <c r="J35" s="34">
        <v>1.76</v>
      </c>
      <c r="K35" s="34">
        <v>0.99399999999999999</v>
      </c>
      <c r="L35" s="34">
        <v>1</v>
      </c>
      <c r="M35" s="34">
        <v>2</v>
      </c>
      <c r="N35" s="34"/>
      <c r="O35" s="47">
        <f t="shared" si="0"/>
        <v>7</v>
      </c>
      <c r="P35" s="47" t="e">
        <f>SQRT([2]!Table1[[#This Row],[Column17]]*[2]!Table1[[#This Row],[Column17]]-[2]!Table1[[#This Row],[Column16]]*[2]!Table1[[#This Row],[Column16]])</f>
        <v>#REF!</v>
      </c>
      <c r="Q35" s="48" t="e">
        <f>[2]!Table1[[#This Row],[Column11]]*4</f>
        <v>#REF!</v>
      </c>
    </row>
    <row r="36" spans="1:17" x14ac:dyDescent="0.3">
      <c r="A36" s="45">
        <v>46177.34375</v>
      </c>
      <c r="B36" s="30">
        <v>239.77</v>
      </c>
      <c r="C36" s="30">
        <v>239.83</v>
      </c>
      <c r="D36" s="30">
        <v>239.07</v>
      </c>
      <c r="E36" s="30">
        <v>7.3</v>
      </c>
      <c r="F36" s="30">
        <v>15.5</v>
      </c>
      <c r="G36" s="30">
        <v>9.3000000000000007</v>
      </c>
      <c r="H36" s="30">
        <v>1.93</v>
      </c>
      <c r="I36" s="30">
        <v>0</v>
      </c>
      <c r="J36" s="30">
        <v>1.94</v>
      </c>
      <c r="K36" s="30">
        <v>0.995</v>
      </c>
      <c r="L36" s="30">
        <v>1</v>
      </c>
      <c r="M36" s="30">
        <v>2</v>
      </c>
      <c r="N36" s="30"/>
      <c r="O36" s="43">
        <f t="shared" si="0"/>
        <v>7.72</v>
      </c>
      <c r="P36" s="43" t="e">
        <f>SQRT([2]!Table1[[#This Row],[Column17]]*[2]!Table1[[#This Row],[Column17]]-[2]!Table1[[#This Row],[Column16]]*[2]!Table1[[#This Row],[Column16]])</f>
        <v>#REF!</v>
      </c>
      <c r="Q36" s="44" t="e">
        <f>[2]!Table1[[#This Row],[Column11]]*4</f>
        <v>#REF!</v>
      </c>
    </row>
    <row r="37" spans="1:17" x14ac:dyDescent="0.3">
      <c r="A37" s="46">
        <v>46177.354166666664</v>
      </c>
      <c r="B37" s="34">
        <v>241.42</v>
      </c>
      <c r="C37" s="34">
        <v>242.04</v>
      </c>
      <c r="D37" s="34">
        <v>241.2</v>
      </c>
      <c r="E37" s="34">
        <v>9.9</v>
      </c>
      <c r="F37" s="34">
        <v>7.6</v>
      </c>
      <c r="G37" s="34">
        <v>5.8</v>
      </c>
      <c r="H37" s="34">
        <v>1.4</v>
      </c>
      <c r="I37" s="34">
        <v>0</v>
      </c>
      <c r="J37" s="34">
        <v>1.42</v>
      </c>
      <c r="K37" s="34">
        <v>0.98599999999999999</v>
      </c>
      <c r="L37" s="34">
        <v>1</v>
      </c>
      <c r="M37" s="34">
        <v>2</v>
      </c>
      <c r="N37" s="34"/>
      <c r="O37" s="47">
        <f t="shared" si="0"/>
        <v>5.6</v>
      </c>
      <c r="P37" s="47" t="e">
        <f>SQRT([2]!Table1[[#This Row],[Column17]]*[2]!Table1[[#This Row],[Column17]]-[2]!Table1[[#This Row],[Column16]]*[2]!Table1[[#This Row],[Column16]])</f>
        <v>#REF!</v>
      </c>
      <c r="Q37" s="48" t="e">
        <f>[2]!Table1[[#This Row],[Column11]]*4</f>
        <v>#REF!</v>
      </c>
    </row>
    <row r="38" spans="1:17" x14ac:dyDescent="0.3">
      <c r="A38" s="45">
        <v>46177.364583333336</v>
      </c>
      <c r="B38" s="30">
        <v>241.92</v>
      </c>
      <c r="C38" s="30">
        <v>242.11</v>
      </c>
      <c r="D38" s="30">
        <v>242.07</v>
      </c>
      <c r="E38" s="30">
        <v>5.9</v>
      </c>
      <c r="F38" s="30">
        <v>5.5</v>
      </c>
      <c r="G38" s="30">
        <v>3.3</v>
      </c>
      <c r="H38" s="30">
        <v>0.88</v>
      </c>
      <c r="I38" s="30">
        <v>0</v>
      </c>
      <c r="J38" s="30">
        <v>0.9</v>
      </c>
      <c r="K38" s="30">
        <v>0.97799999999999998</v>
      </c>
      <c r="L38" s="30">
        <v>1</v>
      </c>
      <c r="M38" s="30">
        <v>2</v>
      </c>
      <c r="N38" s="30"/>
      <c r="O38" s="43">
        <f t="shared" si="0"/>
        <v>3.52</v>
      </c>
      <c r="P38" s="43" t="e">
        <f>SQRT([2]!Table1[[#This Row],[Column17]]*[2]!Table1[[#This Row],[Column17]]-[2]!Table1[[#This Row],[Column16]]*[2]!Table1[[#This Row],[Column16]])</f>
        <v>#REF!</v>
      </c>
      <c r="Q38" s="44" t="e">
        <f>[2]!Table1[[#This Row],[Column11]]*4</f>
        <v>#REF!</v>
      </c>
    </row>
    <row r="39" spans="1:17" x14ac:dyDescent="0.3">
      <c r="A39" s="46">
        <v>46177.375</v>
      </c>
      <c r="B39" s="34">
        <v>242.18</v>
      </c>
      <c r="C39" s="34">
        <v>242.3</v>
      </c>
      <c r="D39" s="34">
        <v>242.69</v>
      </c>
      <c r="E39" s="49">
        <v>0.20833333333333334</v>
      </c>
      <c r="F39" s="34">
        <v>5.8</v>
      </c>
      <c r="G39" s="34">
        <v>3.1</v>
      </c>
      <c r="H39" s="34">
        <v>0.84</v>
      </c>
      <c r="I39" s="34">
        <v>0</v>
      </c>
      <c r="J39" s="34">
        <v>0.85</v>
      </c>
      <c r="K39" s="34">
        <v>0.98799999999999999</v>
      </c>
      <c r="L39" s="34">
        <v>1</v>
      </c>
      <c r="M39" s="34">
        <v>2</v>
      </c>
      <c r="N39" s="34"/>
      <c r="O39" s="47">
        <f t="shared" si="0"/>
        <v>3.36</v>
      </c>
      <c r="P39" s="47" t="e">
        <f>SQRT([2]!Table1[[#This Row],[Column17]]*[2]!Table1[[#This Row],[Column17]]-[2]!Table1[[#This Row],[Column16]]*[2]!Table1[[#This Row],[Column16]])</f>
        <v>#REF!</v>
      </c>
      <c r="Q39" s="48" t="e">
        <f>[2]!Table1[[#This Row],[Column11]]*4</f>
        <v>#REF!</v>
      </c>
    </row>
    <row r="40" spans="1:17" x14ac:dyDescent="0.3">
      <c r="A40" s="45">
        <v>46177.385416666664</v>
      </c>
      <c r="B40" s="30">
        <v>241.66</v>
      </c>
      <c r="C40" s="30">
        <v>242.06</v>
      </c>
      <c r="D40" s="30">
        <v>242.06</v>
      </c>
      <c r="E40" s="30">
        <v>6.8</v>
      </c>
      <c r="F40" s="30">
        <v>3.8</v>
      </c>
      <c r="G40" s="30">
        <v>3.1</v>
      </c>
      <c r="H40" s="30">
        <v>0.82</v>
      </c>
      <c r="I40" s="30">
        <v>0</v>
      </c>
      <c r="J40" s="30">
        <v>0.84</v>
      </c>
      <c r="K40" s="30">
        <v>0.97599999999999998</v>
      </c>
      <c r="L40" s="30">
        <v>1</v>
      </c>
      <c r="M40" s="30">
        <v>2</v>
      </c>
      <c r="N40" s="30"/>
      <c r="O40" s="43">
        <f t="shared" si="0"/>
        <v>3.28</v>
      </c>
      <c r="P40" s="43" t="e">
        <f>SQRT([2]!Table1[[#This Row],[Column17]]*[2]!Table1[[#This Row],[Column17]]-[2]!Table1[[#This Row],[Column16]]*[2]!Table1[[#This Row],[Column16]])</f>
        <v>#REF!</v>
      </c>
      <c r="Q40" s="44" t="e">
        <f>[2]!Table1[[#This Row],[Column11]]*4</f>
        <v>#REF!</v>
      </c>
    </row>
    <row r="41" spans="1:17" x14ac:dyDescent="0.3">
      <c r="A41" s="46">
        <v>46177.395833333336</v>
      </c>
      <c r="B41" s="34">
        <v>239.11</v>
      </c>
      <c r="C41" s="34">
        <v>239.72</v>
      </c>
      <c r="D41" s="34">
        <v>239</v>
      </c>
      <c r="E41" s="34">
        <v>5.2</v>
      </c>
      <c r="F41" s="34">
        <v>3.5</v>
      </c>
      <c r="G41" s="34">
        <v>3.5</v>
      </c>
      <c r="H41" s="34">
        <v>0.72</v>
      </c>
      <c r="I41" s="34">
        <v>0</v>
      </c>
      <c r="J41" s="34">
        <v>0.74</v>
      </c>
      <c r="K41" s="34">
        <v>0.97299999999999998</v>
      </c>
      <c r="L41" s="34">
        <v>1</v>
      </c>
      <c r="M41" s="34">
        <v>2</v>
      </c>
      <c r="N41" s="34"/>
      <c r="O41" s="47">
        <f t="shared" si="0"/>
        <v>2.88</v>
      </c>
      <c r="P41" s="47" t="e">
        <f>SQRT([2]!Table1[[#This Row],[Column17]]*[2]!Table1[[#This Row],[Column17]]-[2]!Table1[[#This Row],[Column16]]*[2]!Table1[[#This Row],[Column16]])</f>
        <v>#REF!</v>
      </c>
      <c r="Q41" s="48" t="e">
        <f>[2]!Table1[[#This Row],[Column11]]*4</f>
        <v>#REF!</v>
      </c>
    </row>
    <row r="42" spans="1:17" x14ac:dyDescent="0.3">
      <c r="A42" s="45">
        <v>46177.40625</v>
      </c>
      <c r="B42" s="30">
        <v>237.09</v>
      </c>
      <c r="C42" s="30">
        <v>237.67</v>
      </c>
      <c r="D42" s="30">
        <v>236.72</v>
      </c>
      <c r="E42" s="50">
        <v>0.20833333333333334</v>
      </c>
      <c r="F42" s="30">
        <v>6.2</v>
      </c>
      <c r="G42" s="30">
        <v>4.9000000000000004</v>
      </c>
      <c r="H42" s="30">
        <v>0.95</v>
      </c>
      <c r="I42" s="30">
        <v>0</v>
      </c>
      <c r="J42" s="30">
        <v>0.97</v>
      </c>
      <c r="K42" s="30">
        <v>0.97899999999999998</v>
      </c>
      <c r="L42" s="30">
        <v>1</v>
      </c>
      <c r="M42" s="30">
        <v>2</v>
      </c>
      <c r="N42" s="30"/>
      <c r="O42" s="43">
        <f t="shared" si="0"/>
        <v>3.8</v>
      </c>
      <c r="P42" s="43" t="e">
        <f>SQRT([2]!Table1[[#This Row],[Column17]]*[2]!Table1[[#This Row],[Column17]]-[2]!Table1[[#This Row],[Column16]]*[2]!Table1[[#This Row],[Column16]])</f>
        <v>#REF!</v>
      </c>
      <c r="Q42" s="44" t="e">
        <f>[2]!Table1[[#This Row],[Column11]]*4</f>
        <v>#REF!</v>
      </c>
    </row>
    <row r="43" spans="1:17" x14ac:dyDescent="0.3">
      <c r="A43" s="46">
        <v>46177.416666666664</v>
      </c>
      <c r="B43" s="34">
        <v>238.97</v>
      </c>
      <c r="C43" s="34">
        <v>239.43</v>
      </c>
      <c r="D43" s="34">
        <v>239.12</v>
      </c>
      <c r="E43" s="34">
        <v>4.5</v>
      </c>
      <c r="F43" s="34">
        <v>3.9</v>
      </c>
      <c r="G43" s="34">
        <v>4.4000000000000004</v>
      </c>
      <c r="H43" s="34">
        <v>0.76</v>
      </c>
      <c r="I43" s="34">
        <v>0</v>
      </c>
      <c r="J43" s="34">
        <v>0.78</v>
      </c>
      <c r="K43" s="34">
        <v>0.97399999999999998</v>
      </c>
      <c r="L43" s="34">
        <v>1</v>
      </c>
      <c r="M43" s="34">
        <v>2</v>
      </c>
      <c r="N43" s="34"/>
      <c r="O43" s="47">
        <f t="shared" si="0"/>
        <v>3.04</v>
      </c>
      <c r="P43" s="47" t="e">
        <f>SQRT([2]!Table1[[#This Row],[Column17]]*[2]!Table1[[#This Row],[Column17]]-[2]!Table1[[#This Row],[Column16]]*[2]!Table1[[#This Row],[Column16]])</f>
        <v>#REF!</v>
      </c>
      <c r="Q43" s="48" t="e">
        <f>[2]!Table1[[#This Row],[Column11]]*4</f>
        <v>#REF!</v>
      </c>
    </row>
    <row r="44" spans="1:17" x14ac:dyDescent="0.3">
      <c r="A44" s="45">
        <v>46177.427083333336</v>
      </c>
      <c r="B44" s="30">
        <v>239.43</v>
      </c>
      <c r="C44" s="30">
        <v>240.4</v>
      </c>
      <c r="D44" s="30">
        <v>238.43</v>
      </c>
      <c r="E44" s="30">
        <v>4.3</v>
      </c>
      <c r="F44" s="50">
        <v>0.16666666666666666</v>
      </c>
      <c r="G44" s="30">
        <v>4.2</v>
      </c>
      <c r="H44" s="30">
        <v>0.74</v>
      </c>
      <c r="I44" s="30">
        <v>0</v>
      </c>
      <c r="J44" s="30">
        <v>0.76</v>
      </c>
      <c r="K44" s="30">
        <v>0.97399999999999998</v>
      </c>
      <c r="L44" s="30">
        <v>1</v>
      </c>
      <c r="M44" s="30">
        <v>2</v>
      </c>
      <c r="N44" s="30"/>
      <c r="O44" s="43">
        <f t="shared" si="0"/>
        <v>2.96</v>
      </c>
      <c r="P44" s="43" t="e">
        <f>SQRT([2]!Table1[[#This Row],[Column17]]*[2]!Table1[[#This Row],[Column17]]-[2]!Table1[[#This Row],[Column16]]*[2]!Table1[[#This Row],[Column16]])</f>
        <v>#REF!</v>
      </c>
      <c r="Q44" s="44" t="e">
        <f>[2]!Table1[[#This Row],[Column11]]*4</f>
        <v>#REF!</v>
      </c>
    </row>
    <row r="45" spans="1:17" x14ac:dyDescent="0.3">
      <c r="A45" s="46">
        <v>46177.4375</v>
      </c>
      <c r="B45" s="34">
        <v>238.87</v>
      </c>
      <c r="C45" s="34">
        <v>239.11</v>
      </c>
      <c r="D45" s="34">
        <v>238.76</v>
      </c>
      <c r="E45" s="34">
        <v>4.5</v>
      </c>
      <c r="F45" s="34">
        <v>4.3</v>
      </c>
      <c r="G45" s="34">
        <v>3.2</v>
      </c>
      <c r="H45" s="34">
        <v>0.71</v>
      </c>
      <c r="I45" s="34">
        <v>0</v>
      </c>
      <c r="J45" s="34">
        <v>0.73</v>
      </c>
      <c r="K45" s="34">
        <v>0.97299999999999998</v>
      </c>
      <c r="L45" s="34">
        <v>1</v>
      </c>
      <c r="M45" s="34">
        <v>2</v>
      </c>
      <c r="N45" s="34"/>
      <c r="O45" s="47">
        <f t="shared" si="0"/>
        <v>2.84</v>
      </c>
      <c r="P45" s="47" t="e">
        <f>SQRT([2]!Table1[[#This Row],[Column17]]*[2]!Table1[[#This Row],[Column17]]-[2]!Table1[[#This Row],[Column16]]*[2]!Table1[[#This Row],[Column16]])</f>
        <v>#REF!</v>
      </c>
      <c r="Q45" s="48" t="e">
        <f>[2]!Table1[[#This Row],[Column11]]*4</f>
        <v>#REF!</v>
      </c>
    </row>
    <row r="46" spans="1:17" x14ac:dyDescent="0.3">
      <c r="A46" s="45">
        <v>46177.447916666664</v>
      </c>
      <c r="B46" s="30">
        <v>240.58</v>
      </c>
      <c r="C46" s="30">
        <v>241.52</v>
      </c>
      <c r="D46" s="30">
        <v>239.86</v>
      </c>
      <c r="E46" s="30">
        <v>4.0999999999999996</v>
      </c>
      <c r="F46" s="30">
        <v>4.2</v>
      </c>
      <c r="G46" s="30">
        <v>3.4</v>
      </c>
      <c r="H46" s="30">
        <v>0.7</v>
      </c>
      <c r="I46" s="30">
        <v>0</v>
      </c>
      <c r="J46" s="30">
        <v>0.72</v>
      </c>
      <c r="K46" s="30">
        <v>0.97199999999999998</v>
      </c>
      <c r="L46" s="30">
        <v>1</v>
      </c>
      <c r="M46" s="30">
        <v>2</v>
      </c>
      <c r="N46" s="30"/>
      <c r="O46" s="43">
        <f t="shared" si="0"/>
        <v>2.8</v>
      </c>
      <c r="P46" s="43" t="e">
        <f>SQRT([2]!Table1[[#This Row],[Column17]]*[2]!Table1[[#This Row],[Column17]]-[2]!Table1[[#This Row],[Column16]]*[2]!Table1[[#This Row],[Column16]])</f>
        <v>#REF!</v>
      </c>
      <c r="Q46" s="44" t="e">
        <f>[2]!Table1[[#This Row],[Column11]]*4</f>
        <v>#REF!</v>
      </c>
    </row>
    <row r="47" spans="1:17" x14ac:dyDescent="0.3">
      <c r="A47" s="46">
        <v>46177.458333333336</v>
      </c>
      <c r="B47" s="34">
        <v>241.12</v>
      </c>
      <c r="C47" s="34">
        <v>242.14</v>
      </c>
      <c r="D47" s="34">
        <v>240.04</v>
      </c>
      <c r="E47" s="34">
        <v>4.2</v>
      </c>
      <c r="F47" s="49">
        <v>0.16666666666666666</v>
      </c>
      <c r="G47" s="49">
        <v>0.125</v>
      </c>
      <c r="H47" s="34">
        <v>0.67</v>
      </c>
      <c r="I47" s="34">
        <v>0</v>
      </c>
      <c r="J47" s="34">
        <v>0.69</v>
      </c>
      <c r="K47" s="34">
        <v>0.97099999999999997</v>
      </c>
      <c r="L47" s="34">
        <v>1</v>
      </c>
      <c r="M47" s="34">
        <v>2</v>
      </c>
      <c r="N47" s="34"/>
      <c r="O47" s="47">
        <f t="shared" si="0"/>
        <v>2.68</v>
      </c>
      <c r="P47" s="47" t="e">
        <f>SQRT([2]!Table1[[#This Row],[Column17]]*[2]!Table1[[#This Row],[Column17]]-[2]!Table1[[#This Row],[Column16]]*[2]!Table1[[#This Row],[Column16]])</f>
        <v>#REF!</v>
      </c>
      <c r="Q47" s="48" t="e">
        <f>[2]!Table1[[#This Row],[Column11]]*4</f>
        <v>#REF!</v>
      </c>
    </row>
    <row r="48" spans="1:17" x14ac:dyDescent="0.3">
      <c r="A48" s="45">
        <v>46177.46875</v>
      </c>
      <c r="B48" s="30">
        <v>240.62</v>
      </c>
      <c r="C48" s="30">
        <v>241.69</v>
      </c>
      <c r="D48" s="30">
        <v>239.42</v>
      </c>
      <c r="E48" s="30">
        <v>4.5</v>
      </c>
      <c r="F48" s="30">
        <v>3.9</v>
      </c>
      <c r="G48" s="30">
        <v>2.4</v>
      </c>
      <c r="H48" s="30">
        <v>0.64</v>
      </c>
      <c r="I48" s="30">
        <v>0</v>
      </c>
      <c r="J48" s="30">
        <v>0.66</v>
      </c>
      <c r="K48" s="30">
        <v>0.97</v>
      </c>
      <c r="L48" s="30">
        <v>1</v>
      </c>
      <c r="M48" s="30">
        <v>2</v>
      </c>
      <c r="N48" s="30"/>
      <c r="O48" s="43">
        <f t="shared" si="0"/>
        <v>2.56</v>
      </c>
      <c r="P48" s="43" t="e">
        <f>SQRT([2]!Table1[[#This Row],[Column17]]*[2]!Table1[[#This Row],[Column17]]-[2]!Table1[[#This Row],[Column16]]*[2]!Table1[[#This Row],[Column16]])</f>
        <v>#REF!</v>
      </c>
      <c r="Q48" s="44" t="e">
        <f>[2]!Table1[[#This Row],[Column11]]*4</f>
        <v>#REF!</v>
      </c>
    </row>
    <row r="49" spans="1:17" x14ac:dyDescent="0.3">
      <c r="A49" s="46">
        <v>46177.479166666664</v>
      </c>
      <c r="B49" s="34">
        <v>240.91</v>
      </c>
      <c r="C49" s="34">
        <v>241.95</v>
      </c>
      <c r="D49" s="34">
        <v>239.86</v>
      </c>
      <c r="E49" s="34">
        <v>4.2</v>
      </c>
      <c r="F49" s="49">
        <v>0.16666666666666666</v>
      </c>
      <c r="G49" s="34">
        <v>2.6</v>
      </c>
      <c r="H49" s="34">
        <v>0.64</v>
      </c>
      <c r="I49" s="34">
        <v>0</v>
      </c>
      <c r="J49" s="34">
        <v>0.67</v>
      </c>
      <c r="K49" s="34">
        <v>0.95499999999999996</v>
      </c>
      <c r="L49" s="34">
        <v>1</v>
      </c>
      <c r="M49" s="34">
        <v>2</v>
      </c>
      <c r="N49" s="34"/>
      <c r="O49" s="47">
        <f t="shared" si="0"/>
        <v>2.56</v>
      </c>
      <c r="P49" s="47" t="e">
        <f>SQRT([2]!Table1[[#This Row],[Column17]]*[2]!Table1[[#This Row],[Column17]]-[2]!Table1[[#This Row],[Column16]]*[2]!Table1[[#This Row],[Column16]])</f>
        <v>#REF!</v>
      </c>
      <c r="Q49" s="48" t="e">
        <f>[2]!Table1[[#This Row],[Column11]]*4</f>
        <v>#REF!</v>
      </c>
    </row>
    <row r="50" spans="1:17" x14ac:dyDescent="0.3">
      <c r="A50" s="45">
        <v>46177.489583333336</v>
      </c>
      <c r="B50" s="30">
        <v>241.57</v>
      </c>
      <c r="C50" s="30">
        <v>242.49</v>
      </c>
      <c r="D50" s="30">
        <v>241.19</v>
      </c>
      <c r="E50" s="50">
        <v>0.16666666666666666</v>
      </c>
      <c r="F50" s="30">
        <v>4.3</v>
      </c>
      <c r="G50" s="30">
        <v>3.4</v>
      </c>
      <c r="H50" s="30">
        <v>0.7</v>
      </c>
      <c r="I50" s="30">
        <v>0</v>
      </c>
      <c r="J50" s="30">
        <v>0.72</v>
      </c>
      <c r="K50" s="30">
        <v>0.97199999999999998</v>
      </c>
      <c r="L50" s="30">
        <v>1</v>
      </c>
      <c r="M50" s="30">
        <v>2</v>
      </c>
      <c r="N50" s="30"/>
      <c r="O50" s="43">
        <f t="shared" si="0"/>
        <v>2.8</v>
      </c>
      <c r="P50" s="43" t="e">
        <f>SQRT([2]!Table1[[#This Row],[Column17]]*[2]!Table1[[#This Row],[Column17]]-[2]!Table1[[#This Row],[Column16]]*[2]!Table1[[#This Row],[Column16]])</f>
        <v>#REF!</v>
      </c>
      <c r="Q50" s="44" t="e">
        <f>[2]!Table1[[#This Row],[Column11]]*4</f>
        <v>#REF!</v>
      </c>
    </row>
    <row r="51" spans="1:17" x14ac:dyDescent="0.3">
      <c r="A51" s="46">
        <v>46177.5</v>
      </c>
      <c r="B51" s="34">
        <v>241.01</v>
      </c>
      <c r="C51" s="34">
        <v>241.9</v>
      </c>
      <c r="D51" s="34">
        <v>240.93</v>
      </c>
      <c r="E51" s="34">
        <v>4.4000000000000004</v>
      </c>
      <c r="F51" s="34">
        <v>4.8</v>
      </c>
      <c r="G51" s="34">
        <v>2.5</v>
      </c>
      <c r="H51" s="34">
        <v>0.69</v>
      </c>
      <c r="I51" s="34">
        <v>0</v>
      </c>
      <c r="J51" s="34">
        <v>0.72</v>
      </c>
      <c r="K51" s="34">
        <v>0.95799999999999996</v>
      </c>
      <c r="L51" s="34">
        <v>1</v>
      </c>
      <c r="M51" s="34">
        <v>2</v>
      </c>
      <c r="N51" s="34"/>
      <c r="O51" s="47">
        <f t="shared" si="0"/>
        <v>2.76</v>
      </c>
      <c r="P51" s="47" t="e">
        <f>SQRT([2]!Table1[[#This Row],[Column17]]*[2]!Table1[[#This Row],[Column17]]-[2]!Table1[[#This Row],[Column16]]*[2]!Table1[[#This Row],[Column16]])</f>
        <v>#REF!</v>
      </c>
      <c r="Q51" s="48" t="e">
        <f>[2]!Table1[[#This Row],[Column11]]*4</f>
        <v>#REF!</v>
      </c>
    </row>
    <row r="52" spans="1:17" x14ac:dyDescent="0.3">
      <c r="A52" s="45">
        <v>46177.510416666664</v>
      </c>
      <c r="B52" s="30">
        <v>241.44</v>
      </c>
      <c r="C52" s="30">
        <v>242.31</v>
      </c>
      <c r="D52" s="30">
        <v>241.24</v>
      </c>
      <c r="E52" s="30">
        <v>4.3</v>
      </c>
      <c r="F52" s="30">
        <v>4.7</v>
      </c>
      <c r="G52" s="30">
        <v>2.7</v>
      </c>
      <c r="H52" s="30">
        <v>0.69</v>
      </c>
      <c r="I52" s="30">
        <v>0</v>
      </c>
      <c r="J52" s="30">
        <v>0.72</v>
      </c>
      <c r="K52" s="30">
        <v>0.95799999999999996</v>
      </c>
      <c r="L52" s="30">
        <v>1</v>
      </c>
      <c r="M52" s="30">
        <v>2</v>
      </c>
      <c r="N52" s="30"/>
      <c r="O52" s="43">
        <f t="shared" si="0"/>
        <v>2.76</v>
      </c>
      <c r="P52" s="43" t="e">
        <f>SQRT([2]!Table1[[#This Row],[Column17]]*[2]!Table1[[#This Row],[Column17]]-[2]!Table1[[#This Row],[Column16]]*[2]!Table1[[#This Row],[Column16]])</f>
        <v>#REF!</v>
      </c>
      <c r="Q52" s="44" t="e">
        <f>[2]!Table1[[#This Row],[Column11]]*4</f>
        <v>#REF!</v>
      </c>
    </row>
    <row r="53" spans="1:17" x14ac:dyDescent="0.3">
      <c r="A53" s="46">
        <v>46177.520833333336</v>
      </c>
      <c r="B53" s="34">
        <v>242.42</v>
      </c>
      <c r="C53" s="34">
        <v>243.47</v>
      </c>
      <c r="D53" s="34">
        <v>242</v>
      </c>
      <c r="E53" s="34">
        <v>4.5999999999999996</v>
      </c>
      <c r="F53" s="34">
        <v>4.0999999999999996</v>
      </c>
      <c r="G53" s="34">
        <v>3.6</v>
      </c>
      <c r="H53" s="34">
        <v>0.74</v>
      </c>
      <c r="I53" s="34">
        <v>0</v>
      </c>
      <c r="J53" s="34">
        <v>0.76</v>
      </c>
      <c r="K53" s="34">
        <v>0.97399999999999998</v>
      </c>
      <c r="L53" s="34">
        <v>1</v>
      </c>
      <c r="M53" s="34">
        <v>2</v>
      </c>
      <c r="N53" s="34"/>
      <c r="O53" s="47">
        <f t="shared" si="0"/>
        <v>2.96</v>
      </c>
      <c r="P53" s="47" t="e">
        <f>SQRT([2]!Table1[[#This Row],[Column17]]*[2]!Table1[[#This Row],[Column17]]-[2]!Table1[[#This Row],[Column16]]*[2]!Table1[[#This Row],[Column16]])</f>
        <v>#REF!</v>
      </c>
      <c r="Q53" s="48" t="e">
        <f>[2]!Table1[[#This Row],[Column11]]*4</f>
        <v>#REF!</v>
      </c>
    </row>
    <row r="54" spans="1:17" x14ac:dyDescent="0.3">
      <c r="A54" s="45">
        <v>46177.53125</v>
      </c>
      <c r="B54" s="30">
        <v>243.39</v>
      </c>
      <c r="C54" s="30">
        <v>244.33</v>
      </c>
      <c r="D54" s="30">
        <v>242.85</v>
      </c>
      <c r="E54" s="30">
        <v>4.3</v>
      </c>
      <c r="F54" s="30">
        <v>4.3</v>
      </c>
      <c r="G54" s="50">
        <v>0.16666666666666666</v>
      </c>
      <c r="H54" s="30">
        <v>0.76</v>
      </c>
      <c r="I54" s="30">
        <v>0</v>
      </c>
      <c r="J54" s="30">
        <v>0.78</v>
      </c>
      <c r="K54" s="30">
        <v>0.97399999999999998</v>
      </c>
      <c r="L54" s="30">
        <v>1</v>
      </c>
      <c r="M54" s="30">
        <v>2</v>
      </c>
      <c r="N54" s="30"/>
      <c r="O54" s="43">
        <f t="shared" si="0"/>
        <v>3.04</v>
      </c>
      <c r="P54" s="43" t="e">
        <f>SQRT([2]!Table1[[#This Row],[Column17]]*[2]!Table1[[#This Row],[Column17]]-[2]!Table1[[#This Row],[Column16]]*[2]!Table1[[#This Row],[Column16]])</f>
        <v>#REF!</v>
      </c>
      <c r="Q54" s="44" t="e">
        <f>[2]!Table1[[#This Row],[Column11]]*4</f>
        <v>#REF!</v>
      </c>
    </row>
    <row r="55" spans="1:17" x14ac:dyDescent="0.3">
      <c r="A55" s="46">
        <v>46177.541666666664</v>
      </c>
      <c r="B55" s="34">
        <v>242.91</v>
      </c>
      <c r="C55" s="34">
        <v>243.63</v>
      </c>
      <c r="D55" s="34">
        <v>242.05</v>
      </c>
      <c r="E55" s="34">
        <v>4.4000000000000004</v>
      </c>
      <c r="F55" s="34">
        <v>5.8</v>
      </c>
      <c r="G55" s="34">
        <v>5.4</v>
      </c>
      <c r="H55" s="34">
        <v>0.94</v>
      </c>
      <c r="I55" s="34">
        <v>0</v>
      </c>
      <c r="J55" s="34">
        <v>0.96</v>
      </c>
      <c r="K55" s="34">
        <v>0.97899999999999998</v>
      </c>
      <c r="L55" s="34">
        <v>1</v>
      </c>
      <c r="M55" s="34">
        <v>2</v>
      </c>
      <c r="N55" s="34"/>
      <c r="O55" s="47">
        <f t="shared" si="0"/>
        <v>3.76</v>
      </c>
      <c r="P55" s="47" t="e">
        <f>SQRT([2]!Table1[[#This Row],[Column17]]*[2]!Table1[[#This Row],[Column17]]-[2]!Table1[[#This Row],[Column16]]*[2]!Table1[[#This Row],[Column16]])</f>
        <v>#REF!</v>
      </c>
      <c r="Q55" s="48" t="e">
        <f>[2]!Table1[[#This Row],[Column11]]*4</f>
        <v>#REF!</v>
      </c>
    </row>
    <row r="56" spans="1:17" x14ac:dyDescent="0.3">
      <c r="A56" s="45">
        <v>46177.552083333336</v>
      </c>
      <c r="B56" s="30">
        <v>242.87</v>
      </c>
      <c r="C56" s="30">
        <v>243.47</v>
      </c>
      <c r="D56" s="30">
        <v>241.96</v>
      </c>
      <c r="E56" s="30">
        <v>4.9000000000000004</v>
      </c>
      <c r="F56" s="30">
        <v>4.3</v>
      </c>
      <c r="G56" s="30">
        <v>4.9000000000000004</v>
      </c>
      <c r="H56" s="30">
        <v>0.85</v>
      </c>
      <c r="I56" s="30">
        <v>0</v>
      </c>
      <c r="J56" s="30">
        <v>0.87</v>
      </c>
      <c r="K56" s="30">
        <v>0.97699999999999998</v>
      </c>
      <c r="L56" s="30">
        <v>1</v>
      </c>
      <c r="M56" s="30">
        <v>2</v>
      </c>
      <c r="N56" s="30"/>
      <c r="O56" s="43">
        <f t="shared" si="0"/>
        <v>3.4</v>
      </c>
      <c r="P56" s="43" t="e">
        <f>SQRT([2]!Table1[[#This Row],[Column17]]*[2]!Table1[[#This Row],[Column17]]-[2]!Table1[[#This Row],[Column16]]*[2]!Table1[[#This Row],[Column16]])</f>
        <v>#REF!</v>
      </c>
      <c r="Q56" s="44" t="e">
        <f>[2]!Table1[[#This Row],[Column11]]*4</f>
        <v>#REF!</v>
      </c>
    </row>
    <row r="57" spans="1:17" x14ac:dyDescent="0.3">
      <c r="A57" s="46">
        <v>46177.5625</v>
      </c>
      <c r="B57" s="34">
        <v>242.11</v>
      </c>
      <c r="C57" s="34">
        <v>242.98</v>
      </c>
      <c r="D57" s="34">
        <v>240.97</v>
      </c>
      <c r="E57" s="34">
        <v>6.9</v>
      </c>
      <c r="F57" s="34">
        <v>4.5</v>
      </c>
      <c r="G57" s="34">
        <v>4.8</v>
      </c>
      <c r="H57" s="34">
        <v>0.97</v>
      </c>
      <c r="I57" s="34">
        <v>0</v>
      </c>
      <c r="J57" s="34">
        <v>0.99</v>
      </c>
      <c r="K57" s="34">
        <v>0.98</v>
      </c>
      <c r="L57" s="34">
        <v>1</v>
      </c>
      <c r="M57" s="34">
        <v>2</v>
      </c>
      <c r="N57" s="34"/>
      <c r="O57" s="47">
        <f t="shared" si="0"/>
        <v>3.88</v>
      </c>
      <c r="P57" s="47" t="e">
        <f>SQRT([2]!Table1[[#This Row],[Column17]]*[2]!Table1[[#This Row],[Column17]]-[2]!Table1[[#This Row],[Column16]]*[2]!Table1[[#This Row],[Column16]])</f>
        <v>#REF!</v>
      </c>
      <c r="Q57" s="48" t="e">
        <f>[2]!Table1[[#This Row],[Column11]]*4</f>
        <v>#REF!</v>
      </c>
    </row>
    <row r="58" spans="1:17" x14ac:dyDescent="0.3">
      <c r="A58" s="45">
        <v>46177.572916666664</v>
      </c>
      <c r="B58" s="30">
        <v>237.51</v>
      </c>
      <c r="C58" s="30">
        <v>238.35</v>
      </c>
      <c r="D58" s="30">
        <v>237.2</v>
      </c>
      <c r="E58" s="30">
        <v>4.5999999999999996</v>
      </c>
      <c r="F58" s="30">
        <v>4.0999999999999996</v>
      </c>
      <c r="G58" s="30">
        <v>4.8</v>
      </c>
      <c r="H58" s="30">
        <v>0.79</v>
      </c>
      <c r="I58" s="30">
        <v>0</v>
      </c>
      <c r="J58" s="30">
        <v>0.81</v>
      </c>
      <c r="K58" s="30">
        <v>0.97499999999999998</v>
      </c>
      <c r="L58" s="30">
        <v>1</v>
      </c>
      <c r="M58" s="30">
        <v>2</v>
      </c>
      <c r="N58" s="30"/>
      <c r="O58" s="43">
        <f t="shared" si="0"/>
        <v>3.16</v>
      </c>
      <c r="P58" s="43" t="e">
        <f>SQRT([2]!Table1[[#This Row],[Column17]]*[2]!Table1[[#This Row],[Column17]]-[2]!Table1[[#This Row],[Column16]]*[2]!Table1[[#This Row],[Column16]])</f>
        <v>#REF!</v>
      </c>
      <c r="Q58" s="44" t="e">
        <f>[2]!Table1[[#This Row],[Column11]]*4</f>
        <v>#REF!</v>
      </c>
    </row>
    <row r="59" spans="1:17" x14ac:dyDescent="0.3">
      <c r="A59" s="46">
        <v>46177.583333333336</v>
      </c>
      <c r="B59" s="34">
        <v>237.09</v>
      </c>
      <c r="C59" s="34">
        <v>238</v>
      </c>
      <c r="D59" s="34">
        <v>236.66</v>
      </c>
      <c r="E59" s="34">
        <v>5.0999999999999996</v>
      </c>
      <c r="F59" s="34">
        <v>4.0999999999999996</v>
      </c>
      <c r="G59" s="34">
        <v>5.6</v>
      </c>
      <c r="H59" s="34">
        <v>0.87</v>
      </c>
      <c r="I59" s="34">
        <v>0</v>
      </c>
      <c r="J59" s="34">
        <v>0.88</v>
      </c>
      <c r="K59" s="34">
        <v>0.98899999999999999</v>
      </c>
      <c r="L59" s="34">
        <v>1</v>
      </c>
      <c r="M59" s="34">
        <v>2</v>
      </c>
      <c r="N59" s="34"/>
      <c r="O59" s="47">
        <f t="shared" si="0"/>
        <v>3.48</v>
      </c>
      <c r="P59" s="47" t="e">
        <f>SQRT([2]!Table1[[#This Row],[Column17]]*[2]!Table1[[#This Row],[Column17]]-[2]!Table1[[#This Row],[Column16]]*[2]!Table1[[#This Row],[Column16]])</f>
        <v>#REF!</v>
      </c>
      <c r="Q59" s="48" t="e">
        <f>[2]!Table1[[#This Row],[Column11]]*4</f>
        <v>#REF!</v>
      </c>
    </row>
    <row r="60" spans="1:17" x14ac:dyDescent="0.3">
      <c r="A60" s="45">
        <v>46177.59375</v>
      </c>
      <c r="B60" s="30">
        <v>236.67</v>
      </c>
      <c r="C60" s="30">
        <v>237.71</v>
      </c>
      <c r="D60" s="30">
        <v>235.95</v>
      </c>
      <c r="E60" s="30">
        <v>8.6</v>
      </c>
      <c r="F60" s="30">
        <v>4.3</v>
      </c>
      <c r="G60" s="30">
        <v>5.2</v>
      </c>
      <c r="H60" s="30">
        <v>1.07</v>
      </c>
      <c r="I60" s="30">
        <v>0</v>
      </c>
      <c r="J60" s="30">
        <v>1.08</v>
      </c>
      <c r="K60" s="30">
        <v>0.99099999999999999</v>
      </c>
      <c r="L60" s="30">
        <v>1</v>
      </c>
      <c r="M60" s="30">
        <v>2</v>
      </c>
      <c r="N60" s="30"/>
      <c r="O60" s="43">
        <f t="shared" si="0"/>
        <v>4.28</v>
      </c>
      <c r="P60" s="43" t="e">
        <f>SQRT([2]!Table1[[#This Row],[Column17]]*[2]!Table1[[#This Row],[Column17]]-[2]!Table1[[#This Row],[Column16]]*[2]!Table1[[#This Row],[Column16]])</f>
        <v>#REF!</v>
      </c>
      <c r="Q60" s="44" t="e">
        <f>[2]!Table1[[#This Row],[Column11]]*4</f>
        <v>#REF!</v>
      </c>
    </row>
    <row r="61" spans="1:17" x14ac:dyDescent="0.3">
      <c r="A61" s="46">
        <v>46177.604166666664</v>
      </c>
      <c r="B61" s="34">
        <v>236.51</v>
      </c>
      <c r="C61" s="34">
        <v>237.33</v>
      </c>
      <c r="D61" s="34">
        <v>235.63</v>
      </c>
      <c r="E61" s="34">
        <v>7.1</v>
      </c>
      <c r="F61" s="49">
        <v>0.20833333333333334</v>
      </c>
      <c r="G61" s="34">
        <v>5.2</v>
      </c>
      <c r="H61" s="34">
        <v>1.01</v>
      </c>
      <c r="I61" s="34">
        <v>0</v>
      </c>
      <c r="J61" s="34">
        <v>1.03</v>
      </c>
      <c r="K61" s="34">
        <v>0.98099999999999998</v>
      </c>
      <c r="L61" s="34">
        <v>1</v>
      </c>
      <c r="M61" s="34">
        <v>2</v>
      </c>
      <c r="N61" s="34"/>
      <c r="O61" s="47">
        <f t="shared" si="0"/>
        <v>4.04</v>
      </c>
      <c r="P61" s="47" t="e">
        <f>SQRT([2]!Table1[[#This Row],[Column17]]*[2]!Table1[[#This Row],[Column17]]-[2]!Table1[[#This Row],[Column16]]*[2]!Table1[[#This Row],[Column16]])</f>
        <v>#REF!</v>
      </c>
      <c r="Q61" s="48" t="e">
        <f>[2]!Table1[[#This Row],[Column11]]*4</f>
        <v>#REF!</v>
      </c>
    </row>
    <row r="62" spans="1:17" x14ac:dyDescent="0.3">
      <c r="A62" s="45">
        <v>46177.614583333336</v>
      </c>
      <c r="B62" s="30">
        <v>242.13</v>
      </c>
      <c r="C62" s="30">
        <v>242.78</v>
      </c>
      <c r="D62" s="30">
        <v>241.83</v>
      </c>
      <c r="E62" s="50">
        <v>0.25</v>
      </c>
      <c r="F62" s="30">
        <v>5.2</v>
      </c>
      <c r="G62" s="30">
        <v>5.8</v>
      </c>
      <c r="H62" s="30">
        <v>1.02</v>
      </c>
      <c r="I62" s="30">
        <v>0</v>
      </c>
      <c r="J62" s="30">
        <v>1.04</v>
      </c>
      <c r="K62" s="30">
        <v>0.98099999999999998</v>
      </c>
      <c r="L62" s="30">
        <v>1</v>
      </c>
      <c r="M62" s="30">
        <v>2</v>
      </c>
      <c r="N62" s="30"/>
      <c r="O62" s="43">
        <f t="shared" si="0"/>
        <v>4.08</v>
      </c>
      <c r="P62" s="43" t="e">
        <f>SQRT([2]!Table1[[#This Row],[Column17]]*[2]!Table1[[#This Row],[Column17]]-[2]!Table1[[#This Row],[Column16]]*[2]!Table1[[#This Row],[Column16]])</f>
        <v>#REF!</v>
      </c>
      <c r="Q62" s="44" t="e">
        <f>[2]!Table1[[#This Row],[Column11]]*4</f>
        <v>#REF!</v>
      </c>
    </row>
    <row r="63" spans="1:17" x14ac:dyDescent="0.3">
      <c r="A63" s="46">
        <v>46177.625</v>
      </c>
      <c r="B63" s="34">
        <v>241.94</v>
      </c>
      <c r="C63" s="34">
        <v>242.36</v>
      </c>
      <c r="D63" s="34">
        <v>242.02</v>
      </c>
      <c r="E63" s="34">
        <v>6.2</v>
      </c>
      <c r="F63" s="34">
        <v>6.3</v>
      </c>
      <c r="G63" s="49">
        <v>0.25</v>
      </c>
      <c r="H63" s="34">
        <v>1.1100000000000001</v>
      </c>
      <c r="I63" s="34">
        <v>0</v>
      </c>
      <c r="J63" s="34">
        <v>1.1299999999999999</v>
      </c>
      <c r="K63" s="34">
        <v>0.98199999999999998</v>
      </c>
      <c r="L63" s="34">
        <v>1</v>
      </c>
      <c r="M63" s="34">
        <v>2</v>
      </c>
      <c r="N63" s="34"/>
      <c r="O63" s="47">
        <f t="shared" si="0"/>
        <v>4.4400000000000004</v>
      </c>
      <c r="P63" s="47" t="e">
        <f>SQRT([2]!Table1[[#This Row],[Column17]]*[2]!Table1[[#This Row],[Column17]]-[2]!Table1[[#This Row],[Column16]]*[2]!Table1[[#This Row],[Column16]])</f>
        <v>#REF!</v>
      </c>
      <c r="Q63" s="48" t="e">
        <f>[2]!Table1[[#This Row],[Column11]]*4</f>
        <v>#REF!</v>
      </c>
    </row>
    <row r="64" spans="1:17" x14ac:dyDescent="0.3">
      <c r="A64" s="45">
        <v>46177.635416666664</v>
      </c>
      <c r="B64" s="30">
        <v>242.51</v>
      </c>
      <c r="C64" s="30">
        <v>242.94</v>
      </c>
      <c r="D64" s="30">
        <v>242.3</v>
      </c>
      <c r="E64" s="30">
        <v>6.3</v>
      </c>
      <c r="F64" s="30">
        <v>5.8</v>
      </c>
      <c r="G64" s="30">
        <v>5.7</v>
      </c>
      <c r="H64" s="30">
        <v>1.07</v>
      </c>
      <c r="I64" s="30">
        <v>0</v>
      </c>
      <c r="J64" s="30">
        <v>1.0900000000000001</v>
      </c>
      <c r="K64" s="30">
        <v>0.98199999999999998</v>
      </c>
      <c r="L64" s="30">
        <v>1</v>
      </c>
      <c r="M64" s="30">
        <v>2</v>
      </c>
      <c r="N64" s="30"/>
      <c r="O64" s="43">
        <f t="shared" si="0"/>
        <v>4.28</v>
      </c>
      <c r="P64" s="43" t="e">
        <f>SQRT([2]!Table1[[#This Row],[Column17]]*[2]!Table1[[#This Row],[Column17]]-[2]!Table1[[#This Row],[Column16]]*[2]!Table1[[#This Row],[Column16]])</f>
        <v>#REF!</v>
      </c>
      <c r="Q64" s="44" t="e">
        <f>[2]!Table1[[#This Row],[Column11]]*4</f>
        <v>#REF!</v>
      </c>
    </row>
    <row r="65" spans="1:17" x14ac:dyDescent="0.3">
      <c r="A65" s="46">
        <v>46177.645833333336</v>
      </c>
      <c r="B65" s="34">
        <v>242.44</v>
      </c>
      <c r="C65" s="34">
        <v>242.95</v>
      </c>
      <c r="D65" s="34">
        <v>242.42</v>
      </c>
      <c r="E65" s="34">
        <v>6.4</v>
      </c>
      <c r="F65" s="49">
        <v>0.25</v>
      </c>
      <c r="G65" s="34">
        <v>5.3</v>
      </c>
      <c r="H65" s="34">
        <v>1.06</v>
      </c>
      <c r="I65" s="34">
        <v>0</v>
      </c>
      <c r="J65" s="34">
        <v>1.08</v>
      </c>
      <c r="K65" s="34">
        <v>0.98099999999999998</v>
      </c>
      <c r="L65" s="34">
        <v>1</v>
      </c>
      <c r="M65" s="34">
        <v>2</v>
      </c>
      <c r="N65" s="34"/>
      <c r="O65" s="47">
        <f t="shared" si="0"/>
        <v>4.24</v>
      </c>
      <c r="P65" s="47" t="e">
        <f>SQRT([2]!Table1[[#This Row],[Column17]]*[2]!Table1[[#This Row],[Column17]]-[2]!Table1[[#This Row],[Column16]]*[2]!Table1[[#This Row],[Column16]])</f>
        <v>#REF!</v>
      </c>
      <c r="Q65" s="48" t="e">
        <f>[2]!Table1[[#This Row],[Column11]]*4</f>
        <v>#REF!</v>
      </c>
    </row>
    <row r="66" spans="1:17" x14ac:dyDescent="0.3">
      <c r="A66" s="45">
        <v>46177.65625</v>
      </c>
      <c r="B66" s="30">
        <v>241.42</v>
      </c>
      <c r="C66" s="30">
        <v>241.77</v>
      </c>
      <c r="D66" s="30">
        <v>241.81</v>
      </c>
      <c r="E66" s="30">
        <v>6.1</v>
      </c>
      <c r="F66" s="30">
        <v>6.1</v>
      </c>
      <c r="G66" s="30">
        <v>5.8</v>
      </c>
      <c r="H66" s="30">
        <v>1.07</v>
      </c>
      <c r="I66" s="30">
        <v>0</v>
      </c>
      <c r="J66" s="30">
        <v>1.0900000000000001</v>
      </c>
      <c r="K66" s="30">
        <v>0.98199999999999998</v>
      </c>
      <c r="L66" s="30">
        <v>1</v>
      </c>
      <c r="M66" s="30">
        <v>2</v>
      </c>
      <c r="N66" s="30"/>
      <c r="O66" s="43">
        <f t="shared" si="0"/>
        <v>4.28</v>
      </c>
      <c r="P66" s="43" t="e">
        <f>SQRT([2]!Table1[[#This Row],[Column17]]*[2]!Table1[[#This Row],[Column17]]-[2]!Table1[[#This Row],[Column16]]*[2]!Table1[[#This Row],[Column16]])</f>
        <v>#REF!</v>
      </c>
      <c r="Q66" s="44" t="e">
        <f>[2]!Table1[[#This Row],[Column11]]*4</f>
        <v>#REF!</v>
      </c>
    </row>
    <row r="67" spans="1:17" x14ac:dyDescent="0.3">
      <c r="A67" s="46">
        <v>46177.666666666664</v>
      </c>
      <c r="B67" s="34">
        <v>240.24</v>
      </c>
      <c r="C67" s="34">
        <v>240.68</v>
      </c>
      <c r="D67" s="34">
        <v>239.9</v>
      </c>
      <c r="E67" s="34">
        <v>5.8</v>
      </c>
      <c r="F67" s="34">
        <v>5.7</v>
      </c>
      <c r="G67" s="34">
        <v>6.3</v>
      </c>
      <c r="H67" s="34">
        <v>1.06</v>
      </c>
      <c r="I67" s="34">
        <v>0</v>
      </c>
      <c r="J67" s="34">
        <v>1.08</v>
      </c>
      <c r="K67" s="34">
        <v>0.98099999999999998</v>
      </c>
      <c r="L67" s="34">
        <v>1</v>
      </c>
      <c r="M67" s="34">
        <v>2</v>
      </c>
      <c r="N67" s="34"/>
      <c r="O67" s="47">
        <f t="shared" si="0"/>
        <v>4.24</v>
      </c>
      <c r="P67" s="47" t="e">
        <f>SQRT([2]!Table1[[#This Row],[Column17]]*[2]!Table1[[#This Row],[Column17]]-[2]!Table1[[#This Row],[Column16]]*[2]!Table1[[#This Row],[Column16]])</f>
        <v>#REF!</v>
      </c>
      <c r="Q67" s="48" t="e">
        <f>[2]!Table1[[#This Row],[Column11]]*4</f>
        <v>#REF!</v>
      </c>
    </row>
    <row r="68" spans="1:17" x14ac:dyDescent="0.3">
      <c r="A68" s="45">
        <v>46177.677083333336</v>
      </c>
      <c r="B68" s="30">
        <v>239.56</v>
      </c>
      <c r="C68" s="30">
        <v>240.1</v>
      </c>
      <c r="D68" s="30">
        <v>239.23</v>
      </c>
      <c r="E68" s="30">
        <v>7.1</v>
      </c>
      <c r="F68" s="30">
        <v>5.7</v>
      </c>
      <c r="G68" s="30">
        <v>6.3</v>
      </c>
      <c r="H68" s="30">
        <v>1.1399999999999999</v>
      </c>
      <c r="I68" s="30">
        <v>0</v>
      </c>
      <c r="J68" s="30">
        <v>1.1499999999999999</v>
      </c>
      <c r="K68" s="30">
        <v>0.99099999999999999</v>
      </c>
      <c r="L68" s="30">
        <v>1</v>
      </c>
      <c r="M68" s="30">
        <v>2</v>
      </c>
      <c r="N68" s="30"/>
      <c r="O68" s="43">
        <f t="shared" ref="O68:O98" si="1">H68*4</f>
        <v>4.5599999999999996</v>
      </c>
      <c r="P68" s="43" t="e">
        <f>SQRT([2]!Table1[[#This Row],[Column17]]*[2]!Table1[[#This Row],[Column17]]-[2]!Table1[[#This Row],[Column16]]*[2]!Table1[[#This Row],[Column16]])</f>
        <v>#REF!</v>
      </c>
      <c r="Q68" s="44" t="e">
        <f>[2]!Table1[[#This Row],[Column11]]*4</f>
        <v>#REF!</v>
      </c>
    </row>
    <row r="69" spans="1:17" x14ac:dyDescent="0.3">
      <c r="A69" s="46">
        <v>46177.6875</v>
      </c>
      <c r="B69" s="34">
        <v>238.2</v>
      </c>
      <c r="C69" s="34">
        <v>238.79</v>
      </c>
      <c r="D69" s="34">
        <v>237.91</v>
      </c>
      <c r="E69" s="34">
        <v>5.4</v>
      </c>
      <c r="F69" s="34">
        <v>5.9</v>
      </c>
      <c r="G69" s="34">
        <v>6.1</v>
      </c>
      <c r="H69" s="34">
        <v>1.03</v>
      </c>
      <c r="I69" s="34">
        <v>0</v>
      </c>
      <c r="J69" s="34">
        <v>1.05</v>
      </c>
      <c r="K69" s="34">
        <v>0.98099999999999998</v>
      </c>
      <c r="L69" s="34">
        <v>1</v>
      </c>
      <c r="M69" s="34">
        <v>2</v>
      </c>
      <c r="N69" s="34"/>
      <c r="O69" s="47">
        <f t="shared" si="1"/>
        <v>4.12</v>
      </c>
      <c r="P69" s="47" t="e">
        <f>SQRT([2]!Table1[[#This Row],[Column17]]*[2]!Table1[[#This Row],[Column17]]-[2]!Table1[[#This Row],[Column16]]*[2]!Table1[[#This Row],[Column16]])</f>
        <v>#REF!</v>
      </c>
      <c r="Q69" s="48" t="e">
        <f>[2]!Table1[[#This Row],[Column11]]*4</f>
        <v>#REF!</v>
      </c>
    </row>
    <row r="70" spans="1:17" x14ac:dyDescent="0.3">
      <c r="A70" s="45">
        <v>46177.697916666664</v>
      </c>
      <c r="B70" s="30">
        <v>237.89</v>
      </c>
      <c r="C70" s="30">
        <v>238.27</v>
      </c>
      <c r="D70" s="30">
        <v>237.19</v>
      </c>
      <c r="E70" s="30">
        <v>4.9000000000000004</v>
      </c>
      <c r="F70" s="30">
        <v>9.1</v>
      </c>
      <c r="G70" s="30">
        <v>5.8</v>
      </c>
      <c r="H70" s="30">
        <v>1.17</v>
      </c>
      <c r="I70" s="30">
        <v>0</v>
      </c>
      <c r="J70" s="30">
        <v>1.18</v>
      </c>
      <c r="K70" s="30">
        <v>0.99199999999999999</v>
      </c>
      <c r="L70" s="30">
        <v>1</v>
      </c>
      <c r="M70" s="30">
        <v>2</v>
      </c>
      <c r="N70" s="30"/>
      <c r="O70" s="43">
        <f t="shared" si="1"/>
        <v>4.68</v>
      </c>
      <c r="P70" s="43" t="e">
        <f>SQRT([2]!Table1[[#This Row],[Column17]]*[2]!Table1[[#This Row],[Column17]]-[2]!Table1[[#This Row],[Column16]]*[2]!Table1[[#This Row],[Column16]])</f>
        <v>#REF!</v>
      </c>
      <c r="Q70" s="44" t="e">
        <f>[2]!Table1[[#This Row],[Column11]]*4</f>
        <v>#REF!</v>
      </c>
    </row>
    <row r="71" spans="1:17" x14ac:dyDescent="0.3">
      <c r="A71" s="46">
        <v>46177.708333333336</v>
      </c>
      <c r="B71" s="34">
        <v>236.64</v>
      </c>
      <c r="C71" s="34">
        <v>237.03</v>
      </c>
      <c r="D71" s="34">
        <v>237.03</v>
      </c>
      <c r="E71" s="34">
        <v>4.9000000000000004</v>
      </c>
      <c r="F71" s="34">
        <v>5.8</v>
      </c>
      <c r="G71" s="34">
        <v>5.2</v>
      </c>
      <c r="H71" s="34">
        <v>0.93</v>
      </c>
      <c r="I71" s="34">
        <v>0</v>
      </c>
      <c r="J71" s="34">
        <v>0.95</v>
      </c>
      <c r="K71" s="34">
        <v>0.97899999999999998</v>
      </c>
      <c r="L71" s="34">
        <v>1</v>
      </c>
      <c r="M71" s="34">
        <v>2</v>
      </c>
      <c r="N71" s="34"/>
      <c r="O71" s="47">
        <f t="shared" si="1"/>
        <v>3.72</v>
      </c>
      <c r="P71" s="47" t="e">
        <f>SQRT([2]!Table1[[#This Row],[Column17]]*[2]!Table1[[#This Row],[Column17]]-[2]!Table1[[#This Row],[Column16]]*[2]!Table1[[#This Row],[Column16]])</f>
        <v>#REF!</v>
      </c>
      <c r="Q71" s="48" t="e">
        <f>[2]!Table1[[#This Row],[Column11]]*4</f>
        <v>#REF!</v>
      </c>
    </row>
    <row r="72" spans="1:17" x14ac:dyDescent="0.3">
      <c r="A72" s="45">
        <v>46177.71875</v>
      </c>
      <c r="B72" s="30">
        <v>234.2</v>
      </c>
      <c r="C72" s="30">
        <v>234.45</v>
      </c>
      <c r="D72" s="30">
        <v>234.83</v>
      </c>
      <c r="E72" s="30">
        <v>4.8</v>
      </c>
      <c r="F72" s="30">
        <v>6.8</v>
      </c>
      <c r="G72" s="30">
        <v>5.2</v>
      </c>
      <c r="H72" s="30">
        <v>0.97</v>
      </c>
      <c r="I72" s="30">
        <v>0</v>
      </c>
      <c r="J72" s="30">
        <v>0.99</v>
      </c>
      <c r="K72" s="30">
        <v>0.98</v>
      </c>
      <c r="L72" s="30">
        <v>1</v>
      </c>
      <c r="M72" s="30">
        <v>2</v>
      </c>
      <c r="N72" s="30"/>
      <c r="O72" s="43">
        <f t="shared" si="1"/>
        <v>3.88</v>
      </c>
      <c r="P72" s="43" t="e">
        <f>SQRT([2]!Table1[[#This Row],[Column17]]*[2]!Table1[[#This Row],[Column17]]-[2]!Table1[[#This Row],[Column16]]*[2]!Table1[[#This Row],[Column16]])</f>
        <v>#REF!</v>
      </c>
      <c r="Q72" s="44" t="e">
        <f>[2]!Table1[[#This Row],[Column11]]*4</f>
        <v>#REF!</v>
      </c>
    </row>
    <row r="73" spans="1:17" x14ac:dyDescent="0.3">
      <c r="A73" s="46">
        <v>46177.729166666664</v>
      </c>
      <c r="B73" s="34">
        <v>235.19</v>
      </c>
      <c r="C73" s="34">
        <v>235.21</v>
      </c>
      <c r="D73" s="34">
        <v>235.54</v>
      </c>
      <c r="E73" s="34">
        <v>4.5</v>
      </c>
      <c r="F73" s="34">
        <v>9.1999999999999993</v>
      </c>
      <c r="G73" s="34">
        <v>5.7</v>
      </c>
      <c r="H73" s="34">
        <v>1.1399999999999999</v>
      </c>
      <c r="I73" s="34">
        <v>0</v>
      </c>
      <c r="J73" s="34">
        <v>1.1499999999999999</v>
      </c>
      <c r="K73" s="34">
        <v>0.99099999999999999</v>
      </c>
      <c r="L73" s="34">
        <v>1</v>
      </c>
      <c r="M73" s="34">
        <v>2</v>
      </c>
      <c r="N73" s="34"/>
      <c r="O73" s="47">
        <f t="shared" si="1"/>
        <v>4.5599999999999996</v>
      </c>
      <c r="P73" s="47" t="e">
        <f>SQRT([2]!Table1[[#This Row],[Column17]]*[2]!Table1[[#This Row],[Column17]]-[2]!Table1[[#This Row],[Column16]]*[2]!Table1[[#This Row],[Column16]])</f>
        <v>#REF!</v>
      </c>
      <c r="Q73" s="48" t="e">
        <f>[2]!Table1[[#This Row],[Column11]]*4</f>
        <v>#REF!</v>
      </c>
    </row>
    <row r="74" spans="1:17" x14ac:dyDescent="0.3">
      <c r="A74" s="45">
        <v>46177.739583333336</v>
      </c>
      <c r="B74" s="30">
        <v>236.18</v>
      </c>
      <c r="C74" s="30">
        <v>236.23</v>
      </c>
      <c r="D74" s="30">
        <v>236.45</v>
      </c>
      <c r="E74" s="30">
        <v>4.4000000000000004</v>
      </c>
      <c r="F74" s="30">
        <v>7.6</v>
      </c>
      <c r="G74" s="30">
        <v>5.9</v>
      </c>
      <c r="H74" s="30">
        <v>1.05</v>
      </c>
      <c r="I74" s="30">
        <v>0</v>
      </c>
      <c r="J74" s="30">
        <v>1.06</v>
      </c>
      <c r="K74" s="30">
        <v>0.99099999999999999</v>
      </c>
      <c r="L74" s="30">
        <v>1</v>
      </c>
      <c r="M74" s="30">
        <v>2</v>
      </c>
      <c r="N74" s="30"/>
      <c r="O74" s="43">
        <f t="shared" si="1"/>
        <v>4.2</v>
      </c>
      <c r="P74" s="43" t="e">
        <f>SQRT([2]!Table1[[#This Row],[Column17]]*[2]!Table1[[#This Row],[Column17]]-[2]!Table1[[#This Row],[Column16]]*[2]!Table1[[#This Row],[Column16]])</f>
        <v>#REF!</v>
      </c>
      <c r="Q74" s="44" t="e">
        <f>[2]!Table1[[#This Row],[Column11]]*4</f>
        <v>#REF!</v>
      </c>
    </row>
    <row r="75" spans="1:17" x14ac:dyDescent="0.3">
      <c r="A75" s="46">
        <v>46177.75</v>
      </c>
      <c r="B75" s="34">
        <v>236.61</v>
      </c>
      <c r="C75" s="34">
        <v>236.72</v>
      </c>
      <c r="D75" s="34">
        <v>236.67</v>
      </c>
      <c r="E75" s="34">
        <v>4.8</v>
      </c>
      <c r="F75" s="34">
        <v>7.4</v>
      </c>
      <c r="G75" s="34">
        <v>6.1</v>
      </c>
      <c r="H75" s="34">
        <v>1.08</v>
      </c>
      <c r="I75" s="34">
        <v>0</v>
      </c>
      <c r="J75" s="34">
        <v>1.0900000000000001</v>
      </c>
      <c r="K75" s="34">
        <v>0.99099999999999999</v>
      </c>
      <c r="L75" s="34">
        <v>1</v>
      </c>
      <c r="M75" s="34">
        <v>2</v>
      </c>
      <c r="N75" s="34"/>
      <c r="O75" s="47">
        <f t="shared" si="1"/>
        <v>4.32</v>
      </c>
      <c r="P75" s="47" t="e">
        <f>SQRT([2]!Table1[[#This Row],[Column17]]*[2]!Table1[[#This Row],[Column17]]-[2]!Table1[[#This Row],[Column16]]*[2]!Table1[[#This Row],[Column16]])</f>
        <v>#REF!</v>
      </c>
      <c r="Q75" s="48" t="e">
        <f>[2]!Table1[[#This Row],[Column11]]*4</f>
        <v>#REF!</v>
      </c>
    </row>
    <row r="76" spans="1:17" x14ac:dyDescent="0.3">
      <c r="A76" s="45">
        <v>46177.760416666664</v>
      </c>
      <c r="B76" s="30">
        <v>236.38</v>
      </c>
      <c r="C76" s="30">
        <v>236.49</v>
      </c>
      <c r="D76" s="30">
        <v>236.44</v>
      </c>
      <c r="E76" s="30">
        <v>5.4</v>
      </c>
      <c r="F76" s="30">
        <v>8.9</v>
      </c>
      <c r="G76" s="30">
        <v>6.5</v>
      </c>
      <c r="H76" s="30">
        <v>1.22</v>
      </c>
      <c r="I76" s="30">
        <v>0</v>
      </c>
      <c r="J76" s="30">
        <v>1.24</v>
      </c>
      <c r="K76" s="30">
        <v>0.98399999999999999</v>
      </c>
      <c r="L76" s="30">
        <v>1</v>
      </c>
      <c r="M76" s="30">
        <v>2</v>
      </c>
      <c r="N76" s="30"/>
      <c r="O76" s="43">
        <f t="shared" si="1"/>
        <v>4.88</v>
      </c>
      <c r="P76" s="43" t="e">
        <f>SQRT([2]!Table1[[#This Row],[Column17]]*[2]!Table1[[#This Row],[Column17]]-[2]!Table1[[#This Row],[Column16]]*[2]!Table1[[#This Row],[Column16]])</f>
        <v>#REF!</v>
      </c>
      <c r="Q76" s="44" t="e">
        <f>[2]!Table1[[#This Row],[Column11]]*4</f>
        <v>#REF!</v>
      </c>
    </row>
    <row r="77" spans="1:17" x14ac:dyDescent="0.3">
      <c r="A77" s="46">
        <v>46177.770833333336</v>
      </c>
      <c r="B77" s="34">
        <v>234.78</v>
      </c>
      <c r="C77" s="34">
        <v>234.81</v>
      </c>
      <c r="D77" s="34">
        <v>234.96</v>
      </c>
      <c r="E77" s="49">
        <v>0.33333333333333331</v>
      </c>
      <c r="F77" s="34">
        <v>10.3</v>
      </c>
      <c r="G77" s="34">
        <v>6.2</v>
      </c>
      <c r="H77" s="34">
        <v>1.43</v>
      </c>
      <c r="I77" s="34">
        <v>0</v>
      </c>
      <c r="J77" s="34">
        <v>1.45</v>
      </c>
      <c r="K77" s="34">
        <v>0.98599999999999999</v>
      </c>
      <c r="L77" s="34">
        <v>1</v>
      </c>
      <c r="M77" s="34">
        <v>2</v>
      </c>
      <c r="N77" s="34"/>
      <c r="O77" s="47">
        <f t="shared" si="1"/>
        <v>5.72</v>
      </c>
      <c r="P77" s="47" t="e">
        <f>SQRT([2]!Table1[[#This Row],[Column17]]*[2]!Table1[[#This Row],[Column17]]-[2]!Table1[[#This Row],[Column16]]*[2]!Table1[[#This Row],[Column16]])</f>
        <v>#REF!</v>
      </c>
      <c r="Q77" s="48" t="e">
        <f>[2]!Table1[[#This Row],[Column11]]*4</f>
        <v>#REF!</v>
      </c>
    </row>
    <row r="78" spans="1:17" x14ac:dyDescent="0.3">
      <c r="A78" s="45">
        <v>46177.78125</v>
      </c>
      <c r="B78" s="30">
        <v>234.06</v>
      </c>
      <c r="C78" s="30">
        <v>234.12</v>
      </c>
      <c r="D78" s="30">
        <v>233.92</v>
      </c>
      <c r="E78" s="50">
        <v>0.33333333333333331</v>
      </c>
      <c r="F78" s="30">
        <v>7.7</v>
      </c>
      <c r="G78" s="30">
        <v>6.6</v>
      </c>
      <c r="H78" s="30">
        <v>1.29</v>
      </c>
      <c r="I78" s="30">
        <v>0</v>
      </c>
      <c r="J78" s="30">
        <v>1.31</v>
      </c>
      <c r="K78" s="30">
        <v>0.98499999999999999</v>
      </c>
      <c r="L78" s="30">
        <v>1</v>
      </c>
      <c r="M78" s="30">
        <v>2</v>
      </c>
      <c r="N78" s="30"/>
      <c r="O78" s="43">
        <f t="shared" si="1"/>
        <v>5.16</v>
      </c>
      <c r="P78" s="43" t="e">
        <f>SQRT([2]!Table1[[#This Row],[Column17]]*[2]!Table1[[#This Row],[Column17]]-[2]!Table1[[#This Row],[Column16]]*[2]!Table1[[#This Row],[Column16]])</f>
        <v>#REF!</v>
      </c>
      <c r="Q78" s="44" t="e">
        <f>[2]!Table1[[#This Row],[Column11]]*4</f>
        <v>#REF!</v>
      </c>
    </row>
    <row r="79" spans="1:17" x14ac:dyDescent="0.3">
      <c r="A79" s="46">
        <v>46177.791666666664</v>
      </c>
      <c r="B79" s="34">
        <v>233.8</v>
      </c>
      <c r="C79" s="34">
        <v>233.95</v>
      </c>
      <c r="D79" s="34">
        <v>233.74</v>
      </c>
      <c r="E79" s="34">
        <v>10.6</v>
      </c>
      <c r="F79" s="34">
        <v>8.9</v>
      </c>
      <c r="G79" s="34">
        <v>7.7</v>
      </c>
      <c r="H79" s="34">
        <v>1.57</v>
      </c>
      <c r="I79" s="34">
        <v>0</v>
      </c>
      <c r="J79" s="34">
        <v>1.61</v>
      </c>
      <c r="K79" s="34">
        <v>0.97499999999999998</v>
      </c>
      <c r="L79" s="34">
        <v>1</v>
      </c>
      <c r="M79" s="34">
        <v>2</v>
      </c>
      <c r="N79" s="34"/>
      <c r="O79" s="47">
        <f t="shared" si="1"/>
        <v>6.28</v>
      </c>
      <c r="P79" s="47" t="e">
        <f>SQRT([2]!Table1[[#This Row],[Column17]]*[2]!Table1[[#This Row],[Column17]]-[2]!Table1[[#This Row],[Column16]]*[2]!Table1[[#This Row],[Column16]])</f>
        <v>#REF!</v>
      </c>
      <c r="Q79" s="48" t="e">
        <f>[2]!Table1[[#This Row],[Column11]]*4</f>
        <v>#REF!</v>
      </c>
    </row>
    <row r="80" spans="1:17" x14ac:dyDescent="0.3">
      <c r="A80" s="45">
        <v>46177.802083333336</v>
      </c>
      <c r="B80" s="30">
        <v>235.76</v>
      </c>
      <c r="C80" s="30">
        <v>235.83</v>
      </c>
      <c r="D80" s="30">
        <v>235.7</v>
      </c>
      <c r="E80" s="30">
        <v>7.6</v>
      </c>
      <c r="F80" s="30">
        <v>9.3000000000000007</v>
      </c>
      <c r="G80" s="30">
        <v>8.1999999999999993</v>
      </c>
      <c r="H80" s="30">
        <v>1.45</v>
      </c>
      <c r="I80" s="30">
        <v>0</v>
      </c>
      <c r="J80" s="30">
        <v>1.49</v>
      </c>
      <c r="K80" s="30">
        <v>0.97299999999999998</v>
      </c>
      <c r="L80" s="30">
        <v>1</v>
      </c>
      <c r="M80" s="30">
        <v>2</v>
      </c>
      <c r="N80" s="30"/>
      <c r="O80" s="43">
        <f t="shared" si="1"/>
        <v>5.8</v>
      </c>
      <c r="P80" s="43" t="e">
        <f>SQRT([2]!Table1[[#This Row],[Column17]]*[2]!Table1[[#This Row],[Column17]]-[2]!Table1[[#This Row],[Column16]]*[2]!Table1[[#This Row],[Column16]])</f>
        <v>#REF!</v>
      </c>
      <c r="Q80" s="44" t="e">
        <f>[2]!Table1[[#This Row],[Column11]]*4</f>
        <v>#REF!</v>
      </c>
    </row>
    <row r="81" spans="1:17" x14ac:dyDescent="0.3">
      <c r="A81" s="46">
        <v>46177.8125</v>
      </c>
      <c r="B81" s="34">
        <v>236.48</v>
      </c>
      <c r="C81" s="34">
        <v>236.37</v>
      </c>
      <c r="D81" s="34">
        <v>236.42</v>
      </c>
      <c r="E81" s="34">
        <v>7.6</v>
      </c>
      <c r="F81" s="34">
        <v>10.9</v>
      </c>
      <c r="G81" s="34">
        <v>8.5</v>
      </c>
      <c r="H81" s="34">
        <v>1.57</v>
      </c>
      <c r="I81" s="34">
        <v>0</v>
      </c>
      <c r="J81" s="34">
        <v>1.6</v>
      </c>
      <c r="K81" s="34">
        <v>0.98099999999999998</v>
      </c>
      <c r="L81" s="34">
        <v>1</v>
      </c>
      <c r="M81" s="34">
        <v>2</v>
      </c>
      <c r="N81" s="34"/>
      <c r="O81" s="47">
        <f t="shared" si="1"/>
        <v>6.28</v>
      </c>
      <c r="P81" s="47" t="e">
        <f>SQRT([2]!Table1[[#This Row],[Column17]]*[2]!Table1[[#This Row],[Column17]]-[2]!Table1[[#This Row],[Column16]]*[2]!Table1[[#This Row],[Column16]])</f>
        <v>#REF!</v>
      </c>
      <c r="Q81" s="48" t="e">
        <f>[2]!Table1[[#This Row],[Column11]]*4</f>
        <v>#REF!</v>
      </c>
    </row>
    <row r="82" spans="1:17" x14ac:dyDescent="0.3">
      <c r="A82" s="45">
        <v>46177.822916666664</v>
      </c>
      <c r="B82" s="30">
        <v>237.11</v>
      </c>
      <c r="C82" s="30">
        <v>237.08</v>
      </c>
      <c r="D82" s="30">
        <v>237.07</v>
      </c>
      <c r="E82" s="30">
        <v>7.4</v>
      </c>
      <c r="F82" s="30">
        <v>12.7</v>
      </c>
      <c r="G82" s="30">
        <v>7.9</v>
      </c>
      <c r="H82" s="30">
        <v>1.64</v>
      </c>
      <c r="I82" s="30">
        <v>0</v>
      </c>
      <c r="J82" s="30">
        <v>1.67</v>
      </c>
      <c r="K82" s="30">
        <v>0.98199999999999998</v>
      </c>
      <c r="L82" s="30">
        <v>1</v>
      </c>
      <c r="M82" s="30">
        <v>2</v>
      </c>
      <c r="N82" s="30"/>
      <c r="O82" s="43">
        <f t="shared" si="1"/>
        <v>6.56</v>
      </c>
      <c r="P82" s="43" t="e">
        <f>SQRT([2]!Table1[[#This Row],[Column17]]*[2]!Table1[[#This Row],[Column17]]-[2]!Table1[[#This Row],[Column16]]*[2]!Table1[[#This Row],[Column16]])</f>
        <v>#REF!</v>
      </c>
      <c r="Q82" s="44" t="e">
        <f>[2]!Table1[[#This Row],[Column11]]*4</f>
        <v>#REF!</v>
      </c>
    </row>
    <row r="83" spans="1:17" x14ac:dyDescent="0.3">
      <c r="A83" s="46">
        <v>46177.833333333336</v>
      </c>
      <c r="B83" s="34">
        <v>238.35</v>
      </c>
      <c r="C83" s="34">
        <v>238.46</v>
      </c>
      <c r="D83" s="34">
        <v>238.41</v>
      </c>
      <c r="E83" s="34">
        <v>7.7</v>
      </c>
      <c r="F83" s="34">
        <v>10.8</v>
      </c>
      <c r="G83" s="34">
        <v>8.6999999999999993</v>
      </c>
      <c r="H83" s="34">
        <v>1.59</v>
      </c>
      <c r="I83" s="34">
        <v>0</v>
      </c>
      <c r="J83" s="34">
        <v>1.63</v>
      </c>
      <c r="K83" s="34">
        <v>0.97499999999999998</v>
      </c>
      <c r="L83" s="34">
        <v>1</v>
      </c>
      <c r="M83" s="34">
        <v>2</v>
      </c>
      <c r="N83" s="34"/>
      <c r="O83" s="47">
        <f t="shared" si="1"/>
        <v>6.36</v>
      </c>
      <c r="P83" s="47" t="e">
        <f>SQRT([2]!Table1[[#This Row],[Column17]]*[2]!Table1[[#This Row],[Column17]]-[2]!Table1[[#This Row],[Column16]]*[2]!Table1[[#This Row],[Column16]])</f>
        <v>#REF!</v>
      </c>
      <c r="Q83" s="48" t="e">
        <f>[2]!Table1[[#This Row],[Column11]]*4</f>
        <v>#REF!</v>
      </c>
    </row>
    <row r="84" spans="1:17" x14ac:dyDescent="0.3">
      <c r="A84" s="45">
        <v>46177.84375</v>
      </c>
      <c r="B84" s="30">
        <v>239.78</v>
      </c>
      <c r="C84" s="30">
        <v>239.92</v>
      </c>
      <c r="D84" s="30">
        <v>239.77</v>
      </c>
      <c r="E84" s="30">
        <v>8.5</v>
      </c>
      <c r="F84" s="30">
        <v>9.5</v>
      </c>
      <c r="G84" s="30">
        <v>9.6</v>
      </c>
      <c r="H84" s="30">
        <v>1.63</v>
      </c>
      <c r="I84" s="30">
        <v>0</v>
      </c>
      <c r="J84" s="30">
        <v>1.67</v>
      </c>
      <c r="K84" s="30">
        <v>0.97599999999999998</v>
      </c>
      <c r="L84" s="30">
        <v>1</v>
      </c>
      <c r="M84" s="30">
        <v>2</v>
      </c>
      <c r="N84" s="30"/>
      <c r="O84" s="43">
        <f t="shared" si="1"/>
        <v>6.52</v>
      </c>
      <c r="P84" s="43" t="e">
        <f>SQRT([2]!Table1[[#This Row],[Column17]]*[2]!Table1[[#This Row],[Column17]]-[2]!Table1[[#This Row],[Column16]]*[2]!Table1[[#This Row],[Column16]])</f>
        <v>#REF!</v>
      </c>
      <c r="Q84" s="44" t="e">
        <f>[2]!Table1[[#This Row],[Column11]]*4</f>
        <v>#REF!</v>
      </c>
    </row>
    <row r="85" spans="1:17" x14ac:dyDescent="0.3">
      <c r="A85" s="46">
        <v>46177.854166666664</v>
      </c>
      <c r="B85" s="34">
        <v>240.39</v>
      </c>
      <c r="C85" s="34">
        <v>240.51</v>
      </c>
      <c r="D85" s="34">
        <v>240.42</v>
      </c>
      <c r="E85" s="34">
        <v>7.8</v>
      </c>
      <c r="F85" s="34">
        <v>10.3</v>
      </c>
      <c r="G85" s="34">
        <v>9.9</v>
      </c>
      <c r="H85" s="34">
        <v>1.65</v>
      </c>
      <c r="I85" s="34">
        <v>0</v>
      </c>
      <c r="J85" s="34">
        <v>1.69</v>
      </c>
      <c r="K85" s="34">
        <v>0.97599999999999998</v>
      </c>
      <c r="L85" s="34">
        <v>1</v>
      </c>
      <c r="M85" s="34">
        <v>2</v>
      </c>
      <c r="N85" s="34"/>
      <c r="O85" s="47">
        <f t="shared" si="1"/>
        <v>6.6</v>
      </c>
      <c r="P85" s="47" t="e">
        <f>SQRT([2]!Table1[[#This Row],[Column17]]*[2]!Table1[[#This Row],[Column17]]-[2]!Table1[[#This Row],[Column16]]*[2]!Table1[[#This Row],[Column16]])</f>
        <v>#REF!</v>
      </c>
      <c r="Q85" s="48" t="e">
        <f>[2]!Table1[[#This Row],[Column11]]*4</f>
        <v>#REF!</v>
      </c>
    </row>
    <row r="86" spans="1:17" x14ac:dyDescent="0.3">
      <c r="A86" s="45">
        <v>46177.864583333336</v>
      </c>
      <c r="B86" s="30">
        <v>240.55</v>
      </c>
      <c r="C86" s="30">
        <v>240.57</v>
      </c>
      <c r="D86" s="30">
        <v>240.59</v>
      </c>
      <c r="E86" s="30">
        <v>8.6999999999999993</v>
      </c>
      <c r="F86" s="30">
        <v>12.4</v>
      </c>
      <c r="G86" s="30">
        <v>9.9</v>
      </c>
      <c r="H86" s="30">
        <v>1.83</v>
      </c>
      <c r="I86" s="30">
        <v>0</v>
      </c>
      <c r="J86" s="30">
        <v>1.87</v>
      </c>
      <c r="K86" s="30">
        <v>0.97899999999999998</v>
      </c>
      <c r="L86" s="30">
        <v>1</v>
      </c>
      <c r="M86" s="30">
        <v>2</v>
      </c>
      <c r="N86" s="30"/>
      <c r="O86" s="43">
        <f t="shared" si="1"/>
        <v>7.32</v>
      </c>
      <c r="P86" s="43" t="e">
        <f>SQRT([2]!Table1[[#This Row],[Column17]]*[2]!Table1[[#This Row],[Column17]]-[2]!Table1[[#This Row],[Column16]]*[2]!Table1[[#This Row],[Column16]])</f>
        <v>#REF!</v>
      </c>
      <c r="Q86" s="44" t="e">
        <f>[2]!Table1[[#This Row],[Column11]]*4</f>
        <v>#REF!</v>
      </c>
    </row>
    <row r="87" spans="1:17" x14ac:dyDescent="0.3">
      <c r="A87" s="46">
        <v>46177.875</v>
      </c>
      <c r="B87" s="34">
        <v>239.46</v>
      </c>
      <c r="C87" s="34">
        <v>239.65</v>
      </c>
      <c r="D87" s="34">
        <v>239.57</v>
      </c>
      <c r="E87" s="34">
        <v>10.5</v>
      </c>
      <c r="F87" s="34">
        <v>11.2</v>
      </c>
      <c r="G87" s="34">
        <v>10.1</v>
      </c>
      <c r="H87" s="34">
        <v>1.86</v>
      </c>
      <c r="I87" s="34">
        <v>0</v>
      </c>
      <c r="J87" s="34">
        <v>1.91</v>
      </c>
      <c r="K87" s="34">
        <v>0.97399999999999998</v>
      </c>
      <c r="L87" s="34">
        <v>1</v>
      </c>
      <c r="M87" s="34">
        <v>2</v>
      </c>
      <c r="N87" s="34"/>
      <c r="O87" s="47">
        <f t="shared" si="1"/>
        <v>7.44</v>
      </c>
      <c r="P87" s="47" t="e">
        <f>SQRT([2]!Table1[[#This Row],[Column17]]*[2]!Table1[[#This Row],[Column17]]-[2]!Table1[[#This Row],[Column16]]*[2]!Table1[[#This Row],[Column16]])</f>
        <v>#REF!</v>
      </c>
      <c r="Q87" s="48" t="e">
        <f>[2]!Table1[[#This Row],[Column11]]*4</f>
        <v>#REF!</v>
      </c>
    </row>
    <row r="88" spans="1:17" x14ac:dyDescent="0.3">
      <c r="A88" s="45">
        <v>46177.885416666664</v>
      </c>
      <c r="B88" s="30">
        <v>239.64</v>
      </c>
      <c r="C88" s="30">
        <v>239.87</v>
      </c>
      <c r="D88" s="30">
        <v>239.86</v>
      </c>
      <c r="E88" s="30">
        <v>10.9</v>
      </c>
      <c r="F88" s="30">
        <v>12.5</v>
      </c>
      <c r="G88" s="30">
        <v>10.5</v>
      </c>
      <c r="H88" s="30">
        <v>1.99</v>
      </c>
      <c r="I88" s="30">
        <v>0</v>
      </c>
      <c r="J88" s="30">
        <v>2.04</v>
      </c>
      <c r="K88" s="30">
        <v>0.97499999999999998</v>
      </c>
      <c r="L88" s="30">
        <v>1</v>
      </c>
      <c r="M88" s="30">
        <v>2</v>
      </c>
      <c r="N88" s="30"/>
      <c r="O88" s="43">
        <f t="shared" si="1"/>
        <v>7.96</v>
      </c>
      <c r="P88" s="43" t="e">
        <f>SQRT([2]!Table1[[#This Row],[Column17]]*[2]!Table1[[#This Row],[Column17]]-[2]!Table1[[#This Row],[Column16]]*[2]!Table1[[#This Row],[Column16]])</f>
        <v>#REF!</v>
      </c>
      <c r="Q88" s="44" t="e">
        <f>[2]!Table1[[#This Row],[Column11]]*4</f>
        <v>#REF!</v>
      </c>
    </row>
    <row r="89" spans="1:17" x14ac:dyDescent="0.3">
      <c r="A89" s="46">
        <v>46177.895833333336</v>
      </c>
      <c r="B89" s="34">
        <v>240.99</v>
      </c>
      <c r="C89" s="34">
        <v>241.2</v>
      </c>
      <c r="D89" s="34">
        <v>241.28</v>
      </c>
      <c r="E89" s="34">
        <v>10.9</v>
      </c>
      <c r="F89" s="34">
        <v>14.2</v>
      </c>
      <c r="G89" s="34">
        <v>10.1</v>
      </c>
      <c r="H89" s="34">
        <v>2.09</v>
      </c>
      <c r="I89" s="34">
        <v>0</v>
      </c>
      <c r="J89" s="34">
        <v>2.14</v>
      </c>
      <c r="K89" s="34">
        <v>0.97699999999999998</v>
      </c>
      <c r="L89" s="34">
        <v>1</v>
      </c>
      <c r="M89" s="34">
        <v>2</v>
      </c>
      <c r="N89" s="34"/>
      <c r="O89" s="47">
        <f t="shared" si="1"/>
        <v>8.36</v>
      </c>
      <c r="P89" s="47" t="e">
        <f>SQRT([2]!Table1[[#This Row],[Column17]]*[2]!Table1[[#This Row],[Column17]]-[2]!Table1[[#This Row],[Column16]]*[2]!Table1[[#This Row],[Column16]])</f>
        <v>#REF!</v>
      </c>
      <c r="Q89" s="48" t="e">
        <f>[2]!Table1[[#This Row],[Column11]]*4</f>
        <v>#REF!</v>
      </c>
    </row>
    <row r="90" spans="1:17" x14ac:dyDescent="0.3">
      <c r="A90" s="45">
        <v>46177.90625</v>
      </c>
      <c r="B90" s="30">
        <v>240.39</v>
      </c>
      <c r="C90" s="30">
        <v>240.71</v>
      </c>
      <c r="D90" s="30">
        <v>240.73</v>
      </c>
      <c r="E90" s="30">
        <v>10.4</v>
      </c>
      <c r="F90" s="50">
        <v>0</v>
      </c>
      <c r="G90" s="30">
        <v>10.199999999999999</v>
      </c>
      <c r="H90" s="30">
        <v>1.92</v>
      </c>
      <c r="I90" s="30">
        <v>0</v>
      </c>
      <c r="J90" s="30">
        <v>1.98</v>
      </c>
      <c r="K90" s="30">
        <v>0.97</v>
      </c>
      <c r="L90" s="30">
        <v>1</v>
      </c>
      <c r="M90" s="30">
        <v>2</v>
      </c>
      <c r="N90" s="30"/>
      <c r="O90" s="43">
        <f t="shared" si="1"/>
        <v>7.68</v>
      </c>
      <c r="P90" s="43" t="e">
        <f>SQRT([2]!Table1[[#This Row],[Column17]]*[2]!Table1[[#This Row],[Column17]]-[2]!Table1[[#This Row],[Column16]]*[2]!Table1[[#This Row],[Column16]])</f>
        <v>#REF!</v>
      </c>
      <c r="Q90" s="44" t="e">
        <f>[2]!Table1[[#This Row],[Column11]]*4</f>
        <v>#REF!</v>
      </c>
    </row>
    <row r="91" spans="1:17" x14ac:dyDescent="0.3">
      <c r="A91" s="46">
        <v>46177.916666666664</v>
      </c>
      <c r="B91" s="34">
        <v>240.51</v>
      </c>
      <c r="C91" s="34">
        <v>240.69</v>
      </c>
      <c r="D91" s="34">
        <v>240.86</v>
      </c>
      <c r="E91" s="34">
        <v>9.3000000000000007</v>
      </c>
      <c r="F91" s="34">
        <v>16.899999999999999</v>
      </c>
      <c r="G91" s="34">
        <v>13.5</v>
      </c>
      <c r="H91" s="34">
        <v>2.36</v>
      </c>
      <c r="I91" s="34">
        <v>0</v>
      </c>
      <c r="J91" s="34">
        <v>2.4</v>
      </c>
      <c r="K91" s="34">
        <v>0.98299999999999998</v>
      </c>
      <c r="L91" s="34">
        <v>1</v>
      </c>
      <c r="M91" s="34">
        <v>2</v>
      </c>
      <c r="N91" s="34"/>
      <c r="O91" s="47">
        <f t="shared" si="1"/>
        <v>9.44</v>
      </c>
      <c r="P91" s="47" t="e">
        <f>SQRT([2]!Table1[[#This Row],[Column17]]*[2]!Table1[[#This Row],[Column17]]-[2]!Table1[[#This Row],[Column16]]*[2]!Table1[[#This Row],[Column16]])</f>
        <v>#REF!</v>
      </c>
      <c r="Q91" s="48" t="e">
        <f>[2]!Table1[[#This Row],[Column11]]*4</f>
        <v>#REF!</v>
      </c>
    </row>
    <row r="92" spans="1:17" x14ac:dyDescent="0.3">
      <c r="A92" s="45">
        <v>46177.927083333336</v>
      </c>
      <c r="B92" s="30">
        <v>239.38</v>
      </c>
      <c r="C92" s="30">
        <v>239.84</v>
      </c>
      <c r="D92" s="30">
        <v>239.89</v>
      </c>
      <c r="E92" s="30">
        <v>8.4</v>
      </c>
      <c r="F92" s="30">
        <v>12.2</v>
      </c>
      <c r="G92" s="30">
        <v>10.7</v>
      </c>
      <c r="H92" s="30">
        <v>1.84</v>
      </c>
      <c r="I92" s="30">
        <v>0</v>
      </c>
      <c r="J92" s="30">
        <v>1.89</v>
      </c>
      <c r="K92" s="30">
        <v>0.97399999999999998</v>
      </c>
      <c r="L92" s="30">
        <v>1</v>
      </c>
      <c r="M92" s="30">
        <v>2</v>
      </c>
      <c r="N92" s="30"/>
      <c r="O92" s="43">
        <f t="shared" si="1"/>
        <v>7.36</v>
      </c>
      <c r="P92" s="43" t="e">
        <f>SQRT([2]!Table1[[#This Row],[Column17]]*[2]!Table1[[#This Row],[Column17]]-[2]!Table1[[#This Row],[Column16]]*[2]!Table1[[#This Row],[Column16]])</f>
        <v>#REF!</v>
      </c>
      <c r="Q92" s="44" t="e">
        <f>[2]!Table1[[#This Row],[Column11]]*4</f>
        <v>#REF!</v>
      </c>
    </row>
    <row r="93" spans="1:17" x14ac:dyDescent="0.3">
      <c r="A93" s="46">
        <v>46177.9375</v>
      </c>
      <c r="B93" s="34">
        <v>241.29</v>
      </c>
      <c r="C93" s="34">
        <v>241.64</v>
      </c>
      <c r="D93" s="34">
        <v>241.68</v>
      </c>
      <c r="E93" s="34">
        <v>8.4</v>
      </c>
      <c r="F93" s="34">
        <v>12.6</v>
      </c>
      <c r="G93" s="34">
        <v>10.7</v>
      </c>
      <c r="H93" s="34">
        <v>1.87</v>
      </c>
      <c r="I93" s="34">
        <v>0</v>
      </c>
      <c r="J93" s="34">
        <v>1.92</v>
      </c>
      <c r="K93" s="34">
        <v>0.97399999999999998</v>
      </c>
      <c r="L93" s="34">
        <v>1</v>
      </c>
      <c r="M93" s="34">
        <v>2</v>
      </c>
      <c r="N93" s="34"/>
      <c r="O93" s="47">
        <f t="shared" si="1"/>
        <v>7.48</v>
      </c>
      <c r="P93" s="47" t="e">
        <f>SQRT([2]!Table1[[#This Row],[Column17]]*[2]!Table1[[#This Row],[Column17]]-[2]!Table1[[#This Row],[Column16]]*[2]!Table1[[#This Row],[Column16]])</f>
        <v>#REF!</v>
      </c>
      <c r="Q93" s="48" t="e">
        <f>[2]!Table1[[#This Row],[Column11]]*4</f>
        <v>#REF!</v>
      </c>
    </row>
    <row r="94" spans="1:17" x14ac:dyDescent="0.3">
      <c r="A94" s="45">
        <v>46177.947916666664</v>
      </c>
      <c r="B94" s="30">
        <v>240.25</v>
      </c>
      <c r="C94" s="30">
        <v>240.74</v>
      </c>
      <c r="D94" s="30">
        <v>240.82</v>
      </c>
      <c r="E94" s="30">
        <v>9.1</v>
      </c>
      <c r="F94" s="30">
        <v>11.4</v>
      </c>
      <c r="G94" s="50">
        <v>0.45833333333333331</v>
      </c>
      <c r="H94" s="30">
        <v>1.86</v>
      </c>
      <c r="I94" s="30">
        <v>0</v>
      </c>
      <c r="J94" s="30">
        <v>1.9</v>
      </c>
      <c r="K94" s="30">
        <v>0.97899999999999998</v>
      </c>
      <c r="L94" s="30">
        <v>1</v>
      </c>
      <c r="M94" s="30">
        <v>2</v>
      </c>
      <c r="N94" s="30"/>
      <c r="O94" s="43">
        <f t="shared" si="1"/>
        <v>7.44</v>
      </c>
      <c r="P94" s="43" t="e">
        <f>SQRT([2]!Table1[[#This Row],[Column17]]*[2]!Table1[[#This Row],[Column17]]-[2]!Table1[[#This Row],[Column16]]*[2]!Table1[[#This Row],[Column16]])</f>
        <v>#REF!</v>
      </c>
      <c r="Q94" s="44" t="e">
        <f>[2]!Table1[[#This Row],[Column11]]*4</f>
        <v>#REF!</v>
      </c>
    </row>
    <row r="95" spans="1:17" x14ac:dyDescent="0.3">
      <c r="A95" s="46">
        <v>46177.958333333336</v>
      </c>
      <c r="B95" s="34">
        <v>240.43</v>
      </c>
      <c r="C95" s="34">
        <v>240.89</v>
      </c>
      <c r="D95" s="34">
        <v>240.98</v>
      </c>
      <c r="E95" s="34">
        <v>11.5</v>
      </c>
      <c r="F95" s="34">
        <v>11.3</v>
      </c>
      <c r="G95" s="34">
        <v>11.5</v>
      </c>
      <c r="H95" s="34">
        <v>2.0299999999999998</v>
      </c>
      <c r="I95" s="34">
        <v>0</v>
      </c>
      <c r="J95" s="34">
        <v>2.0699999999999998</v>
      </c>
      <c r="K95" s="34">
        <v>0.98099999999999998</v>
      </c>
      <c r="L95" s="34">
        <v>1</v>
      </c>
      <c r="M95" s="34">
        <v>2</v>
      </c>
      <c r="N95" s="34"/>
      <c r="O95" s="47">
        <f t="shared" si="1"/>
        <v>8.1199999999999992</v>
      </c>
      <c r="P95" s="47" t="e">
        <f>SQRT([2]!Table1[[#This Row],[Column17]]*[2]!Table1[[#This Row],[Column17]]-[2]!Table1[[#This Row],[Column16]]*[2]!Table1[[#This Row],[Column16]])</f>
        <v>#REF!</v>
      </c>
      <c r="Q95" s="48" t="e">
        <f>[2]!Table1[[#This Row],[Column11]]*4</f>
        <v>#REF!</v>
      </c>
    </row>
    <row r="96" spans="1:17" x14ac:dyDescent="0.3">
      <c r="A96" s="45">
        <v>46177.96875</v>
      </c>
      <c r="B96" s="30">
        <v>241.2</v>
      </c>
      <c r="C96" s="30">
        <v>241.6</v>
      </c>
      <c r="D96" s="30">
        <v>241.74</v>
      </c>
      <c r="E96" s="30">
        <v>10.7</v>
      </c>
      <c r="F96" s="30">
        <v>10.9</v>
      </c>
      <c r="G96" s="30">
        <v>11.4</v>
      </c>
      <c r="H96" s="30">
        <v>1.96</v>
      </c>
      <c r="I96" s="30">
        <v>0</v>
      </c>
      <c r="J96" s="30">
        <v>2</v>
      </c>
      <c r="K96" s="30">
        <v>0.98</v>
      </c>
      <c r="L96" s="30">
        <v>1</v>
      </c>
      <c r="M96" s="30">
        <v>2</v>
      </c>
      <c r="N96" s="30"/>
      <c r="O96" s="43">
        <f t="shared" si="1"/>
        <v>7.84</v>
      </c>
      <c r="P96" s="43" t="e">
        <f>SQRT([2]!Table1[[#This Row],[Column17]]*[2]!Table1[[#This Row],[Column17]]-[2]!Table1[[#This Row],[Column16]]*[2]!Table1[[#This Row],[Column16]])</f>
        <v>#REF!</v>
      </c>
      <c r="Q96" s="44" t="e">
        <f>[2]!Table1[[#This Row],[Column11]]*4</f>
        <v>#REF!</v>
      </c>
    </row>
    <row r="97" spans="1:17" x14ac:dyDescent="0.3">
      <c r="A97" s="46">
        <v>46177.979166666664</v>
      </c>
      <c r="B97" s="34">
        <v>239.97</v>
      </c>
      <c r="C97" s="34">
        <v>240.21</v>
      </c>
      <c r="D97" s="34">
        <v>240.45</v>
      </c>
      <c r="E97" s="34">
        <v>8.9</v>
      </c>
      <c r="F97" s="34">
        <v>14.5</v>
      </c>
      <c r="G97" s="34">
        <v>11.8</v>
      </c>
      <c r="H97" s="34">
        <v>2.09</v>
      </c>
      <c r="I97" s="34">
        <v>0</v>
      </c>
      <c r="J97" s="34">
        <v>2.13</v>
      </c>
      <c r="K97" s="34">
        <v>0.98099999999999998</v>
      </c>
      <c r="L97" s="34">
        <v>1</v>
      </c>
      <c r="M97" s="34">
        <v>2</v>
      </c>
      <c r="N97" s="34"/>
      <c r="O97" s="47">
        <f t="shared" si="1"/>
        <v>8.36</v>
      </c>
      <c r="P97" s="47" t="e">
        <f>SQRT([2]!Table1[[#This Row],[Column17]]*[2]!Table1[[#This Row],[Column17]]-[2]!Table1[[#This Row],[Column16]]*[2]!Table1[[#This Row],[Column16]])</f>
        <v>#REF!</v>
      </c>
      <c r="Q97" s="48" t="e">
        <f>[2]!Table1[[#This Row],[Column11]]*4</f>
        <v>#REF!</v>
      </c>
    </row>
    <row r="98" spans="1:17" x14ac:dyDescent="0.3">
      <c r="A98" s="45">
        <v>46177.989583333336</v>
      </c>
      <c r="B98" s="30">
        <v>241.04</v>
      </c>
      <c r="C98" s="30">
        <v>241.25</v>
      </c>
      <c r="D98" s="30">
        <v>241.46</v>
      </c>
      <c r="E98" s="30">
        <v>8.8000000000000007</v>
      </c>
      <c r="F98" s="30">
        <v>13.4</v>
      </c>
      <c r="G98" s="30">
        <v>11.2</v>
      </c>
      <c r="H98" s="30">
        <v>1.99</v>
      </c>
      <c r="I98" s="30">
        <v>0</v>
      </c>
      <c r="J98" s="30">
        <v>2.02</v>
      </c>
      <c r="K98" s="30">
        <v>0.98499999999999999</v>
      </c>
      <c r="L98" s="30">
        <v>1</v>
      </c>
      <c r="M98" s="30">
        <v>2</v>
      </c>
      <c r="N98" s="30"/>
      <c r="O98" s="43">
        <f t="shared" si="1"/>
        <v>7.96</v>
      </c>
      <c r="P98" s="43" t="e">
        <f>SQRT([2]!Table1[[#This Row],[Column17]]*[2]!Table1[[#This Row],[Column17]]-[2]!Table1[[#This Row],[Column16]]*[2]!Table1[[#This Row],[Column16]])</f>
        <v>#REF!</v>
      </c>
      <c r="Q98" s="44" t="e">
        <f>[2]!Table1[[#This Row],[Column11]]*4</f>
        <v>#REF!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ADCD4-DA7A-48E4-AAE8-63980DFA2F75}">
  <dimension ref="A1:Q191"/>
  <sheetViews>
    <sheetView workbookViewId="0">
      <selection activeCell="Q4" sqref="Q4:Q99"/>
    </sheetView>
  </sheetViews>
  <sheetFormatPr defaultRowHeight="14.4" x14ac:dyDescent="0.3"/>
  <cols>
    <col min="1" max="1" width="12.5546875" customWidth="1"/>
  </cols>
  <sheetData>
    <row r="1" spans="1:17" x14ac:dyDescent="0.3">
      <c r="A1" s="5" t="s">
        <v>142</v>
      </c>
      <c r="B1" s="5" t="s">
        <v>143</v>
      </c>
      <c r="C1" s="5" t="s">
        <v>144</v>
      </c>
      <c r="D1" s="5" t="s">
        <v>145</v>
      </c>
      <c r="E1" s="5" t="s">
        <v>146</v>
      </c>
      <c r="F1" s="5" t="s">
        <v>147</v>
      </c>
      <c r="G1" s="5" t="s">
        <v>148</v>
      </c>
      <c r="H1" s="5" t="s">
        <v>149</v>
      </c>
      <c r="I1" s="5" t="s">
        <v>150</v>
      </c>
      <c r="J1" s="5" t="s">
        <v>151</v>
      </c>
      <c r="K1" s="5" t="s">
        <v>152</v>
      </c>
      <c r="L1" s="5" t="s">
        <v>153</v>
      </c>
      <c r="M1" s="5" t="s">
        <v>154</v>
      </c>
      <c r="N1" s="5" t="s">
        <v>155</v>
      </c>
      <c r="O1" s="41" t="s">
        <v>156</v>
      </c>
    </row>
    <row r="3" spans="1:17" x14ac:dyDescent="0.3">
      <c r="A3" s="30" t="s">
        <v>159</v>
      </c>
      <c r="B3" s="30" t="s">
        <v>160</v>
      </c>
      <c r="C3" s="30" t="s">
        <v>160</v>
      </c>
      <c r="D3" s="30" t="s">
        <v>160</v>
      </c>
      <c r="E3" s="30" t="s">
        <v>161</v>
      </c>
      <c r="F3" s="30" t="s">
        <v>161</v>
      </c>
      <c r="G3" s="30" t="s">
        <v>161</v>
      </c>
      <c r="H3" s="30" t="s">
        <v>162</v>
      </c>
      <c r="I3" s="30" t="s">
        <v>163</v>
      </c>
      <c r="J3" s="30" t="s">
        <v>164</v>
      </c>
      <c r="K3" s="30"/>
      <c r="L3" s="30" t="s">
        <v>165</v>
      </c>
      <c r="M3" s="30" t="s">
        <v>166</v>
      </c>
      <c r="N3" s="30"/>
      <c r="O3" s="43" t="s">
        <v>167</v>
      </c>
    </row>
    <row r="4" spans="1:17" x14ac:dyDescent="0.3">
      <c r="A4" s="45">
        <v>46177.010416666664</v>
      </c>
      <c r="B4" s="30">
        <v>241.02</v>
      </c>
      <c r="C4" s="30">
        <v>241.12</v>
      </c>
      <c r="D4" s="30">
        <v>241.37</v>
      </c>
      <c r="E4" s="30">
        <v>10.199999999999999</v>
      </c>
      <c r="F4" s="30">
        <v>10.4</v>
      </c>
      <c r="G4" s="30">
        <v>9.6</v>
      </c>
      <c r="H4" s="30">
        <v>1.78</v>
      </c>
      <c r="I4" s="30">
        <v>0</v>
      </c>
      <c r="J4" s="30">
        <v>1.83</v>
      </c>
      <c r="K4" s="30">
        <v>0.97299999999999998</v>
      </c>
      <c r="L4" s="30">
        <v>1</v>
      </c>
      <c r="M4" s="30">
        <v>2</v>
      </c>
      <c r="N4" s="30"/>
      <c r="O4" s="43">
        <f t="shared" ref="O4:O67" si="0">H4*4</f>
        <v>7.12</v>
      </c>
      <c r="Q4" s="73"/>
    </row>
    <row r="5" spans="1:17" x14ac:dyDescent="0.3">
      <c r="A5" s="46">
        <v>46177.020833333336</v>
      </c>
      <c r="B5" s="34">
        <v>237.48</v>
      </c>
      <c r="C5" s="34">
        <v>237.55</v>
      </c>
      <c r="D5" s="34">
        <v>237.76</v>
      </c>
      <c r="E5" s="34">
        <v>10.7</v>
      </c>
      <c r="F5" s="34">
        <v>9.9</v>
      </c>
      <c r="G5" s="34">
        <v>9.5</v>
      </c>
      <c r="H5" s="34">
        <v>1.76</v>
      </c>
      <c r="I5" s="34">
        <v>0</v>
      </c>
      <c r="J5" s="34">
        <v>1.8</v>
      </c>
      <c r="K5" s="34">
        <v>0.97799999999999998</v>
      </c>
      <c r="L5" s="34">
        <v>1</v>
      </c>
      <c r="M5" s="34">
        <v>2</v>
      </c>
      <c r="N5" s="34"/>
      <c r="O5" s="47">
        <f t="shared" si="0"/>
        <v>7.04</v>
      </c>
      <c r="Q5" s="73"/>
    </row>
    <row r="6" spans="1:17" x14ac:dyDescent="0.3">
      <c r="A6" s="45">
        <v>46177.03125</v>
      </c>
      <c r="B6" s="30">
        <v>234.57</v>
      </c>
      <c r="C6" s="30">
        <v>234.6</v>
      </c>
      <c r="D6" s="30">
        <v>234.8</v>
      </c>
      <c r="E6" s="30">
        <v>10.199999999999999</v>
      </c>
      <c r="F6" s="30">
        <v>10.6</v>
      </c>
      <c r="G6" s="30">
        <v>10.4</v>
      </c>
      <c r="H6" s="30">
        <v>1.81</v>
      </c>
      <c r="I6" s="30">
        <v>0</v>
      </c>
      <c r="J6" s="30">
        <v>1.84</v>
      </c>
      <c r="K6" s="30">
        <v>0.98399999999999999</v>
      </c>
      <c r="L6" s="30">
        <v>1</v>
      </c>
      <c r="M6" s="30">
        <v>2</v>
      </c>
      <c r="N6" s="30"/>
      <c r="O6" s="43">
        <f t="shared" si="0"/>
        <v>7.24</v>
      </c>
      <c r="Q6" s="73"/>
    </row>
    <row r="7" spans="1:17" x14ac:dyDescent="0.3">
      <c r="A7" s="46">
        <v>46177.041666666664</v>
      </c>
      <c r="B7" s="34">
        <v>235.01</v>
      </c>
      <c r="C7" s="34">
        <v>235.1</v>
      </c>
      <c r="D7" s="34">
        <v>235.21</v>
      </c>
      <c r="E7" s="34">
        <v>10.4</v>
      </c>
      <c r="F7" s="34">
        <v>8.9</v>
      </c>
      <c r="G7" s="34">
        <v>10.6</v>
      </c>
      <c r="H7" s="34">
        <v>1.73</v>
      </c>
      <c r="I7" s="34">
        <v>0</v>
      </c>
      <c r="J7" s="34">
        <v>1.77</v>
      </c>
      <c r="K7" s="34">
        <v>0.97699999999999998</v>
      </c>
      <c r="L7" s="34">
        <v>1</v>
      </c>
      <c r="M7" s="34">
        <v>2</v>
      </c>
      <c r="N7" s="34"/>
      <c r="O7" s="47">
        <f t="shared" si="0"/>
        <v>6.92</v>
      </c>
      <c r="Q7" s="73"/>
    </row>
    <row r="8" spans="1:17" x14ac:dyDescent="0.3">
      <c r="A8" s="45">
        <v>46177.052083333336</v>
      </c>
      <c r="B8" s="30">
        <v>235.38</v>
      </c>
      <c r="C8" s="30">
        <v>235.45</v>
      </c>
      <c r="D8" s="30">
        <v>235.61</v>
      </c>
      <c r="E8" s="30">
        <v>11.5</v>
      </c>
      <c r="F8" s="30">
        <v>9.8000000000000007</v>
      </c>
      <c r="G8" s="30">
        <v>9.9</v>
      </c>
      <c r="H8" s="30">
        <v>1.82</v>
      </c>
      <c r="I8" s="30">
        <v>0</v>
      </c>
      <c r="J8" s="30">
        <v>1.85</v>
      </c>
      <c r="K8" s="30">
        <v>0.98399999999999999</v>
      </c>
      <c r="L8" s="30">
        <v>1</v>
      </c>
      <c r="M8" s="30">
        <v>2</v>
      </c>
      <c r="N8" s="30"/>
      <c r="O8" s="43">
        <f t="shared" si="0"/>
        <v>7.28</v>
      </c>
      <c r="Q8" s="73"/>
    </row>
    <row r="9" spans="1:17" x14ac:dyDescent="0.3">
      <c r="A9" s="46">
        <v>46177.0625</v>
      </c>
      <c r="B9" s="34">
        <v>235.74</v>
      </c>
      <c r="C9" s="34">
        <v>235.78</v>
      </c>
      <c r="D9" s="34">
        <v>235.95</v>
      </c>
      <c r="E9" s="34">
        <v>8.6</v>
      </c>
      <c r="F9" s="34">
        <v>8.6</v>
      </c>
      <c r="G9" s="34">
        <v>8.6</v>
      </c>
      <c r="H9" s="34">
        <v>1.5</v>
      </c>
      <c r="I9" s="34">
        <v>0</v>
      </c>
      <c r="J9" s="34">
        <v>1.53</v>
      </c>
      <c r="K9" s="34">
        <v>0.98</v>
      </c>
      <c r="L9" s="34">
        <v>1</v>
      </c>
      <c r="M9" s="34">
        <v>2</v>
      </c>
      <c r="N9" s="34"/>
      <c r="O9" s="47">
        <f t="shared" si="0"/>
        <v>6</v>
      </c>
      <c r="Q9" s="73"/>
    </row>
    <row r="10" spans="1:17" x14ac:dyDescent="0.3">
      <c r="A10" s="45">
        <v>46177.072916666664</v>
      </c>
      <c r="B10" s="30">
        <v>236.15</v>
      </c>
      <c r="C10" s="30">
        <v>236.19</v>
      </c>
      <c r="D10" s="30">
        <v>236.41</v>
      </c>
      <c r="E10" s="30">
        <v>8.5</v>
      </c>
      <c r="F10" s="30">
        <v>8.3000000000000007</v>
      </c>
      <c r="G10" s="30">
        <v>7.5</v>
      </c>
      <c r="H10" s="30">
        <v>1.41</v>
      </c>
      <c r="I10" s="30">
        <v>0</v>
      </c>
      <c r="J10" s="30">
        <v>1.45</v>
      </c>
      <c r="K10" s="30">
        <v>0.97199999999999998</v>
      </c>
      <c r="L10" s="30">
        <v>1</v>
      </c>
      <c r="M10" s="30">
        <v>2</v>
      </c>
      <c r="N10" s="30"/>
      <c r="O10" s="43">
        <f t="shared" si="0"/>
        <v>5.64</v>
      </c>
      <c r="Q10" s="73"/>
    </row>
    <row r="11" spans="1:17" x14ac:dyDescent="0.3">
      <c r="A11" s="46">
        <v>46177.083333333336</v>
      </c>
      <c r="B11" s="34">
        <v>236.54</v>
      </c>
      <c r="C11" s="34">
        <v>236.56</v>
      </c>
      <c r="D11" s="34">
        <v>236.77</v>
      </c>
      <c r="E11" s="34">
        <v>8.6999999999999993</v>
      </c>
      <c r="F11" s="34">
        <v>8.3000000000000007</v>
      </c>
      <c r="G11" s="49">
        <v>0.375</v>
      </c>
      <c r="H11" s="34">
        <v>1.51</v>
      </c>
      <c r="I11" s="34">
        <v>0</v>
      </c>
      <c r="J11" s="34">
        <v>1.54</v>
      </c>
      <c r="K11" s="34">
        <v>0.98099999999999998</v>
      </c>
      <c r="L11" s="34">
        <v>1</v>
      </c>
      <c r="M11" s="34">
        <v>2</v>
      </c>
      <c r="N11" s="34"/>
      <c r="O11" s="47">
        <f t="shared" si="0"/>
        <v>6.04</v>
      </c>
      <c r="Q11" s="73"/>
    </row>
    <row r="12" spans="1:17" x14ac:dyDescent="0.3">
      <c r="A12" s="45">
        <v>46177.09375</v>
      </c>
      <c r="B12" s="30">
        <v>236.87</v>
      </c>
      <c r="C12" s="30">
        <v>236.9</v>
      </c>
      <c r="D12" s="30">
        <v>237.16</v>
      </c>
      <c r="E12" s="30">
        <v>8.4</v>
      </c>
      <c r="F12" s="30">
        <v>9.1</v>
      </c>
      <c r="G12" s="50">
        <v>0.33333333333333331</v>
      </c>
      <c r="H12" s="30">
        <v>1.49</v>
      </c>
      <c r="I12" s="30">
        <v>0</v>
      </c>
      <c r="J12" s="30">
        <v>1.52</v>
      </c>
      <c r="K12" s="30">
        <v>0.98</v>
      </c>
      <c r="L12" s="30">
        <v>1</v>
      </c>
      <c r="M12" s="30">
        <v>2</v>
      </c>
      <c r="N12" s="30"/>
      <c r="O12" s="43">
        <f t="shared" si="0"/>
        <v>5.96</v>
      </c>
      <c r="Q12" s="73"/>
    </row>
    <row r="13" spans="1:17" x14ac:dyDescent="0.3">
      <c r="A13" s="46">
        <v>46177.104166666664</v>
      </c>
      <c r="B13" s="34">
        <v>236.9</v>
      </c>
      <c r="C13" s="34">
        <v>236.99</v>
      </c>
      <c r="D13" s="34">
        <v>237.23</v>
      </c>
      <c r="E13" s="34">
        <v>8.6999999999999993</v>
      </c>
      <c r="F13" s="34">
        <v>8.1</v>
      </c>
      <c r="G13" s="34">
        <v>6.7</v>
      </c>
      <c r="H13" s="34">
        <v>1.37</v>
      </c>
      <c r="I13" s="34">
        <v>0</v>
      </c>
      <c r="J13" s="34">
        <v>1.4</v>
      </c>
      <c r="K13" s="34">
        <v>0.97899999999999998</v>
      </c>
      <c r="L13" s="34">
        <v>1</v>
      </c>
      <c r="M13" s="34">
        <v>2</v>
      </c>
      <c r="N13" s="34"/>
      <c r="O13" s="47">
        <f t="shared" si="0"/>
        <v>5.48</v>
      </c>
      <c r="Q13" s="73"/>
    </row>
    <row r="14" spans="1:17" x14ac:dyDescent="0.3">
      <c r="A14" s="45">
        <v>46177.114583333336</v>
      </c>
      <c r="B14" s="30">
        <v>237.34</v>
      </c>
      <c r="C14" s="30">
        <v>237.38</v>
      </c>
      <c r="D14" s="30">
        <v>237.61</v>
      </c>
      <c r="E14" s="30">
        <v>8.1</v>
      </c>
      <c r="F14" s="30">
        <v>9.3000000000000007</v>
      </c>
      <c r="G14" s="30">
        <v>8.5</v>
      </c>
      <c r="H14" s="30">
        <v>1.52</v>
      </c>
      <c r="I14" s="30">
        <v>0</v>
      </c>
      <c r="J14" s="30">
        <v>1.55</v>
      </c>
      <c r="K14" s="30">
        <v>0.98099999999999998</v>
      </c>
      <c r="L14" s="30">
        <v>1</v>
      </c>
      <c r="M14" s="30">
        <v>2</v>
      </c>
      <c r="N14" s="30"/>
      <c r="O14" s="43">
        <f t="shared" si="0"/>
        <v>6.08</v>
      </c>
      <c r="Q14" s="73"/>
    </row>
    <row r="15" spans="1:17" x14ac:dyDescent="0.3">
      <c r="A15" s="46">
        <v>46177.125</v>
      </c>
      <c r="B15" s="34">
        <v>237.42</v>
      </c>
      <c r="C15" s="34">
        <v>237.51</v>
      </c>
      <c r="D15" s="34">
        <v>237.76</v>
      </c>
      <c r="E15" s="34">
        <v>7.9</v>
      </c>
      <c r="F15" s="34">
        <v>7.4</v>
      </c>
      <c r="G15" s="34">
        <v>6.5</v>
      </c>
      <c r="H15" s="34">
        <v>1.28</v>
      </c>
      <c r="I15" s="34">
        <v>0</v>
      </c>
      <c r="J15" s="34">
        <v>1.31</v>
      </c>
      <c r="K15" s="34">
        <v>0.97699999999999998</v>
      </c>
      <c r="L15" s="34">
        <v>1</v>
      </c>
      <c r="M15" s="34">
        <v>2</v>
      </c>
      <c r="N15" s="34"/>
      <c r="O15" s="47">
        <f t="shared" si="0"/>
        <v>5.12</v>
      </c>
      <c r="Q15" s="73"/>
    </row>
    <row r="16" spans="1:17" x14ac:dyDescent="0.3">
      <c r="A16" s="45">
        <v>46177.135416666664</v>
      </c>
      <c r="B16" s="30">
        <v>237.56</v>
      </c>
      <c r="C16" s="30">
        <v>237.7</v>
      </c>
      <c r="D16" s="30">
        <v>238.01</v>
      </c>
      <c r="E16" s="30">
        <v>7.5</v>
      </c>
      <c r="F16" s="30">
        <v>7.3</v>
      </c>
      <c r="G16" s="50">
        <v>0.25</v>
      </c>
      <c r="H16" s="30">
        <v>1.22</v>
      </c>
      <c r="I16" s="30">
        <v>0</v>
      </c>
      <c r="J16" s="30">
        <v>1.25</v>
      </c>
      <c r="K16" s="30">
        <v>0.97599999999999998</v>
      </c>
      <c r="L16" s="30">
        <v>1</v>
      </c>
      <c r="M16" s="30">
        <v>2</v>
      </c>
      <c r="N16" s="30"/>
      <c r="O16" s="43">
        <f t="shared" si="0"/>
        <v>4.88</v>
      </c>
      <c r="Q16" s="73"/>
    </row>
    <row r="17" spans="1:17" x14ac:dyDescent="0.3">
      <c r="A17" s="46">
        <v>46177.145833333336</v>
      </c>
      <c r="B17" s="34">
        <v>238.13</v>
      </c>
      <c r="C17" s="34">
        <v>238.23</v>
      </c>
      <c r="D17" s="34">
        <v>238.53</v>
      </c>
      <c r="E17" s="34">
        <v>7.3</v>
      </c>
      <c r="F17" s="34">
        <v>7.4</v>
      </c>
      <c r="G17" s="34">
        <v>5.8</v>
      </c>
      <c r="H17" s="34">
        <v>1.21</v>
      </c>
      <c r="I17" s="34">
        <v>0</v>
      </c>
      <c r="J17" s="34">
        <v>1.23</v>
      </c>
      <c r="K17" s="34">
        <v>0.98399999999999999</v>
      </c>
      <c r="L17" s="34">
        <v>1</v>
      </c>
      <c r="M17" s="34">
        <v>2</v>
      </c>
      <c r="N17" s="34"/>
      <c r="O17" s="47">
        <f t="shared" si="0"/>
        <v>4.84</v>
      </c>
      <c r="Q17" s="73"/>
    </row>
    <row r="18" spans="1:17" x14ac:dyDescent="0.3">
      <c r="A18" s="45">
        <v>46177.15625</v>
      </c>
      <c r="B18" s="30">
        <v>237.63</v>
      </c>
      <c r="C18" s="30">
        <v>237.72</v>
      </c>
      <c r="D18" s="30">
        <v>238.07</v>
      </c>
      <c r="E18" s="30">
        <v>7.4</v>
      </c>
      <c r="F18" s="30">
        <v>8.1</v>
      </c>
      <c r="G18" s="30">
        <v>5.8</v>
      </c>
      <c r="H18" s="30">
        <v>1.25</v>
      </c>
      <c r="I18" s="30">
        <v>0</v>
      </c>
      <c r="J18" s="30">
        <v>1.27</v>
      </c>
      <c r="K18" s="30">
        <v>0.98399999999999999</v>
      </c>
      <c r="L18" s="30">
        <v>1</v>
      </c>
      <c r="M18" s="30">
        <v>2</v>
      </c>
      <c r="N18" s="30"/>
      <c r="O18" s="43">
        <f t="shared" si="0"/>
        <v>5</v>
      </c>
      <c r="Q18" s="73"/>
    </row>
    <row r="19" spans="1:17" x14ac:dyDescent="0.3">
      <c r="A19" s="46">
        <v>46177.166666666664</v>
      </c>
      <c r="B19" s="34">
        <v>237.74</v>
      </c>
      <c r="C19" s="34">
        <v>237.84</v>
      </c>
      <c r="D19" s="34">
        <v>238.09</v>
      </c>
      <c r="E19" s="34">
        <v>7.4</v>
      </c>
      <c r="F19" s="34">
        <v>7.2</v>
      </c>
      <c r="G19" s="34">
        <v>5.8</v>
      </c>
      <c r="H19" s="34">
        <v>1.21</v>
      </c>
      <c r="I19" s="34">
        <v>0</v>
      </c>
      <c r="J19" s="34">
        <v>1.23</v>
      </c>
      <c r="K19" s="34">
        <v>0.98399999999999999</v>
      </c>
      <c r="L19" s="34">
        <v>1</v>
      </c>
      <c r="M19" s="34">
        <v>2</v>
      </c>
      <c r="N19" s="34"/>
      <c r="O19" s="47">
        <f t="shared" si="0"/>
        <v>4.84</v>
      </c>
      <c r="Q19" s="73"/>
    </row>
    <row r="20" spans="1:17" x14ac:dyDescent="0.3">
      <c r="A20" s="45">
        <v>46177.177083333336</v>
      </c>
      <c r="B20" s="30">
        <v>237.57</v>
      </c>
      <c r="C20" s="30">
        <v>237.66</v>
      </c>
      <c r="D20" s="30">
        <v>237.92</v>
      </c>
      <c r="E20" s="30">
        <v>7.5</v>
      </c>
      <c r="F20" s="50">
        <v>0.29166666666666669</v>
      </c>
      <c r="G20" s="30">
        <v>6.1</v>
      </c>
      <c r="H20" s="30">
        <v>1.22</v>
      </c>
      <c r="I20" s="30">
        <v>0</v>
      </c>
      <c r="J20" s="30">
        <v>1.24</v>
      </c>
      <c r="K20" s="30">
        <v>0.98399999999999999</v>
      </c>
      <c r="L20" s="30">
        <v>1</v>
      </c>
      <c r="M20" s="30">
        <v>2</v>
      </c>
      <c r="N20" s="30"/>
      <c r="O20" s="43">
        <f t="shared" si="0"/>
        <v>4.88</v>
      </c>
      <c r="Q20" s="73"/>
    </row>
    <row r="21" spans="1:17" x14ac:dyDescent="0.3">
      <c r="A21" s="46">
        <v>46177.1875</v>
      </c>
      <c r="B21" s="34">
        <v>236.66</v>
      </c>
      <c r="C21" s="34">
        <v>236.71</v>
      </c>
      <c r="D21" s="34">
        <v>237.04</v>
      </c>
      <c r="E21" s="34">
        <v>7.4</v>
      </c>
      <c r="F21" s="34">
        <v>9.1</v>
      </c>
      <c r="G21" s="34">
        <v>6.1</v>
      </c>
      <c r="H21" s="34">
        <v>1.33</v>
      </c>
      <c r="I21" s="34">
        <v>0</v>
      </c>
      <c r="J21" s="34">
        <v>1.35</v>
      </c>
      <c r="K21" s="34">
        <v>0.98499999999999999</v>
      </c>
      <c r="L21" s="34">
        <v>1</v>
      </c>
      <c r="M21" s="34">
        <v>2</v>
      </c>
      <c r="N21" s="34"/>
      <c r="O21" s="47">
        <f t="shared" si="0"/>
        <v>5.32</v>
      </c>
      <c r="Q21" s="73"/>
    </row>
    <row r="22" spans="1:17" x14ac:dyDescent="0.3">
      <c r="A22" s="45">
        <v>46177.197916666664</v>
      </c>
      <c r="B22" s="30">
        <v>235.64</v>
      </c>
      <c r="C22" s="30">
        <v>235.71</v>
      </c>
      <c r="D22" s="30">
        <v>235.99</v>
      </c>
      <c r="E22" s="30">
        <v>7.1</v>
      </c>
      <c r="F22" s="50">
        <v>0.29166666666666669</v>
      </c>
      <c r="G22" s="30">
        <v>6.1</v>
      </c>
      <c r="H22" s="30">
        <v>1.18</v>
      </c>
      <c r="I22" s="30">
        <v>0</v>
      </c>
      <c r="J22" s="30">
        <v>1.2</v>
      </c>
      <c r="K22" s="30">
        <v>0.98299999999999998</v>
      </c>
      <c r="L22" s="30">
        <v>1</v>
      </c>
      <c r="M22" s="30">
        <v>2</v>
      </c>
      <c r="N22" s="30"/>
      <c r="O22" s="43">
        <f t="shared" si="0"/>
        <v>4.72</v>
      </c>
      <c r="Q22" s="73"/>
    </row>
    <row r="23" spans="1:17" x14ac:dyDescent="0.3">
      <c r="A23" s="46">
        <v>46177.208333333336</v>
      </c>
      <c r="B23" s="34">
        <v>234.4</v>
      </c>
      <c r="C23" s="34">
        <v>234.52</v>
      </c>
      <c r="D23" s="34">
        <v>234.71</v>
      </c>
      <c r="E23" s="49">
        <v>0.29166666666666669</v>
      </c>
      <c r="F23" s="34">
        <v>6.8</v>
      </c>
      <c r="G23" s="49">
        <v>0.25</v>
      </c>
      <c r="H23" s="34">
        <v>1.1399999999999999</v>
      </c>
      <c r="I23" s="34">
        <v>0</v>
      </c>
      <c r="J23" s="34">
        <v>1.17</v>
      </c>
      <c r="K23" s="34">
        <v>0.97399999999999998</v>
      </c>
      <c r="L23" s="34">
        <v>1</v>
      </c>
      <c r="M23" s="34">
        <v>2</v>
      </c>
      <c r="N23" s="34"/>
      <c r="O23" s="47">
        <f t="shared" si="0"/>
        <v>4.5599999999999996</v>
      </c>
      <c r="Q23" s="73"/>
    </row>
    <row r="24" spans="1:17" x14ac:dyDescent="0.3">
      <c r="A24" s="45">
        <v>46177.21875</v>
      </c>
      <c r="B24" s="30">
        <v>234.29</v>
      </c>
      <c r="C24" s="30">
        <v>234.39</v>
      </c>
      <c r="D24" s="30">
        <v>234.54</v>
      </c>
      <c r="E24" s="30">
        <v>7.1</v>
      </c>
      <c r="F24" s="30">
        <v>6.7</v>
      </c>
      <c r="G24" s="50">
        <v>0.25</v>
      </c>
      <c r="H24" s="30">
        <v>1.1499999999999999</v>
      </c>
      <c r="I24" s="30">
        <v>0</v>
      </c>
      <c r="J24" s="30">
        <v>1.17</v>
      </c>
      <c r="K24" s="30">
        <v>0.98299999999999998</v>
      </c>
      <c r="L24" s="30">
        <v>1</v>
      </c>
      <c r="M24" s="30">
        <v>2</v>
      </c>
      <c r="N24" s="30"/>
      <c r="O24" s="43">
        <f t="shared" si="0"/>
        <v>4.5999999999999996</v>
      </c>
      <c r="Q24" s="73"/>
    </row>
    <row r="25" spans="1:17" x14ac:dyDescent="0.3">
      <c r="A25" s="46">
        <v>46177.229166666664</v>
      </c>
      <c r="B25" s="34">
        <v>234.28</v>
      </c>
      <c r="C25" s="34">
        <v>234.26</v>
      </c>
      <c r="D25" s="34">
        <v>234.36</v>
      </c>
      <c r="E25" s="49">
        <v>0.29166666666666669</v>
      </c>
      <c r="F25" s="34">
        <v>6.7</v>
      </c>
      <c r="G25" s="34">
        <v>6.1</v>
      </c>
      <c r="H25" s="34">
        <v>1.1499999999999999</v>
      </c>
      <c r="I25" s="34">
        <v>0</v>
      </c>
      <c r="J25" s="34">
        <v>1.18</v>
      </c>
      <c r="K25" s="34">
        <v>0.97499999999999998</v>
      </c>
      <c r="L25" s="34">
        <v>1</v>
      </c>
      <c r="M25" s="34">
        <v>2</v>
      </c>
      <c r="N25" s="34"/>
      <c r="O25" s="47">
        <f t="shared" si="0"/>
        <v>4.5999999999999996</v>
      </c>
      <c r="Q25" s="73"/>
    </row>
    <row r="26" spans="1:17" x14ac:dyDescent="0.3">
      <c r="A26" s="45">
        <v>46177.239583333336</v>
      </c>
      <c r="B26" s="30">
        <v>236.09</v>
      </c>
      <c r="C26" s="30">
        <v>236.31</v>
      </c>
      <c r="D26" s="30">
        <v>236.14</v>
      </c>
      <c r="E26" s="50">
        <v>0.29166666666666669</v>
      </c>
      <c r="F26" s="30">
        <v>6.6</v>
      </c>
      <c r="G26" s="30">
        <v>5.9</v>
      </c>
      <c r="H26" s="30">
        <v>1.1299999999999999</v>
      </c>
      <c r="I26" s="30">
        <v>0</v>
      </c>
      <c r="J26" s="30">
        <v>1.1599999999999999</v>
      </c>
      <c r="K26" s="30">
        <v>0.97399999999999998</v>
      </c>
      <c r="L26" s="30">
        <v>1</v>
      </c>
      <c r="M26" s="30">
        <v>2</v>
      </c>
      <c r="N26" s="30"/>
      <c r="O26" s="43">
        <f t="shared" si="0"/>
        <v>4.5199999999999996</v>
      </c>
      <c r="Q26" s="73"/>
    </row>
    <row r="27" spans="1:17" x14ac:dyDescent="0.3">
      <c r="A27" s="46">
        <v>46177.25</v>
      </c>
      <c r="B27" s="34">
        <v>235.01</v>
      </c>
      <c r="C27" s="34">
        <v>235.23</v>
      </c>
      <c r="D27" s="34">
        <v>235.23</v>
      </c>
      <c r="E27" s="34">
        <v>6.5</v>
      </c>
      <c r="F27" s="34">
        <v>6.5</v>
      </c>
      <c r="G27" s="49">
        <v>0.25</v>
      </c>
      <c r="H27" s="34">
        <v>1.1000000000000001</v>
      </c>
      <c r="I27" s="34">
        <v>0</v>
      </c>
      <c r="J27" s="34">
        <v>1.1299999999999999</v>
      </c>
      <c r="K27" s="34">
        <v>0.97299999999999998</v>
      </c>
      <c r="L27" s="34">
        <v>1</v>
      </c>
      <c r="M27" s="34">
        <v>2</v>
      </c>
      <c r="N27" s="34"/>
      <c r="O27" s="47">
        <f t="shared" si="0"/>
        <v>4.4000000000000004</v>
      </c>
      <c r="Q27" s="73"/>
    </row>
    <row r="28" spans="1:17" x14ac:dyDescent="0.3">
      <c r="A28" s="45">
        <v>46177.260416666664</v>
      </c>
      <c r="B28" s="30">
        <v>234.08</v>
      </c>
      <c r="C28" s="30">
        <v>234.11</v>
      </c>
      <c r="D28" s="30">
        <v>234.32</v>
      </c>
      <c r="E28" s="30">
        <v>6.1</v>
      </c>
      <c r="F28" s="30">
        <v>7.6</v>
      </c>
      <c r="G28" s="30">
        <v>5.8</v>
      </c>
      <c r="H28" s="30">
        <v>1.1200000000000001</v>
      </c>
      <c r="I28" s="30">
        <v>0</v>
      </c>
      <c r="J28" s="30">
        <v>1.1499999999999999</v>
      </c>
      <c r="K28" s="30">
        <v>0.97399999999999998</v>
      </c>
      <c r="L28" s="30">
        <v>1</v>
      </c>
      <c r="M28" s="30">
        <v>2</v>
      </c>
      <c r="N28" s="30"/>
      <c r="O28" s="43">
        <f t="shared" si="0"/>
        <v>4.4800000000000004</v>
      </c>
      <c r="Q28" s="73"/>
    </row>
    <row r="29" spans="1:17" x14ac:dyDescent="0.3">
      <c r="A29" s="46">
        <v>46177.270833333336</v>
      </c>
      <c r="B29" s="34">
        <v>234.83</v>
      </c>
      <c r="C29" s="34">
        <v>234.97</v>
      </c>
      <c r="D29" s="34">
        <v>234.96</v>
      </c>
      <c r="E29" s="34">
        <v>6.6</v>
      </c>
      <c r="F29" s="34">
        <v>7.8</v>
      </c>
      <c r="G29" s="34">
        <v>5.8</v>
      </c>
      <c r="H29" s="34">
        <v>1.17</v>
      </c>
      <c r="I29" s="34">
        <v>0</v>
      </c>
      <c r="J29" s="34">
        <v>1.2</v>
      </c>
      <c r="K29" s="34">
        <v>0.97499999999999998</v>
      </c>
      <c r="L29" s="34">
        <v>1</v>
      </c>
      <c r="M29" s="34">
        <v>2</v>
      </c>
      <c r="N29" s="34"/>
      <c r="O29" s="47">
        <f t="shared" si="0"/>
        <v>4.68</v>
      </c>
      <c r="Q29" s="73"/>
    </row>
    <row r="30" spans="1:17" x14ac:dyDescent="0.3">
      <c r="A30" s="45">
        <v>46177.28125</v>
      </c>
      <c r="B30" s="30">
        <v>238.04</v>
      </c>
      <c r="C30" s="30">
        <v>238.1</v>
      </c>
      <c r="D30" s="30">
        <v>238.51</v>
      </c>
      <c r="E30" s="30">
        <v>6.7</v>
      </c>
      <c r="F30" s="30">
        <v>8.6</v>
      </c>
      <c r="G30" s="30">
        <v>5.9</v>
      </c>
      <c r="H30" s="30">
        <v>1.24</v>
      </c>
      <c r="I30" s="30">
        <v>0</v>
      </c>
      <c r="J30" s="30">
        <v>1.27</v>
      </c>
      <c r="K30" s="30">
        <v>0.97599999999999998</v>
      </c>
      <c r="L30" s="30">
        <v>1</v>
      </c>
      <c r="M30" s="30">
        <v>2</v>
      </c>
      <c r="N30" s="30"/>
      <c r="O30" s="43">
        <f t="shared" si="0"/>
        <v>4.96</v>
      </c>
      <c r="Q30" s="73"/>
    </row>
    <row r="31" spans="1:17" x14ac:dyDescent="0.3">
      <c r="A31" s="46">
        <v>46177.291666666664</v>
      </c>
      <c r="B31" s="34">
        <v>241.1</v>
      </c>
      <c r="C31" s="34">
        <v>241.3</v>
      </c>
      <c r="D31" s="34">
        <v>242</v>
      </c>
      <c r="E31" s="34">
        <v>8.6999999999999993</v>
      </c>
      <c r="F31" s="34">
        <v>7.9</v>
      </c>
      <c r="G31" s="34">
        <v>5.8</v>
      </c>
      <c r="H31" s="34">
        <v>1.34</v>
      </c>
      <c r="I31" s="34">
        <v>0</v>
      </c>
      <c r="J31" s="34">
        <v>1.37</v>
      </c>
      <c r="K31" s="34">
        <v>0.97799999999999998</v>
      </c>
      <c r="L31" s="34">
        <v>1</v>
      </c>
      <c r="M31" s="34">
        <v>2</v>
      </c>
      <c r="N31" s="34"/>
      <c r="O31" s="47">
        <f t="shared" si="0"/>
        <v>5.36</v>
      </c>
      <c r="Q31" s="73"/>
    </row>
    <row r="32" spans="1:17" x14ac:dyDescent="0.3">
      <c r="A32" s="45">
        <v>46177.302083333336</v>
      </c>
      <c r="B32" s="30">
        <v>240.99</v>
      </c>
      <c r="C32" s="30">
        <v>241.42</v>
      </c>
      <c r="D32" s="30">
        <v>241.62</v>
      </c>
      <c r="E32" s="30">
        <v>8.4</v>
      </c>
      <c r="F32" s="30">
        <v>7.9</v>
      </c>
      <c r="G32" s="30">
        <v>7.5</v>
      </c>
      <c r="H32" s="30">
        <v>1.43</v>
      </c>
      <c r="I32" s="30">
        <v>0</v>
      </c>
      <c r="J32" s="30">
        <v>1.45</v>
      </c>
      <c r="K32" s="30">
        <v>0.98599999999999999</v>
      </c>
      <c r="L32" s="30">
        <v>1</v>
      </c>
      <c r="M32" s="30">
        <v>2</v>
      </c>
      <c r="N32" s="30"/>
      <c r="O32" s="43">
        <f t="shared" si="0"/>
        <v>5.72</v>
      </c>
      <c r="Q32" s="73"/>
    </row>
    <row r="33" spans="1:17" x14ac:dyDescent="0.3">
      <c r="A33" s="46">
        <v>46177.3125</v>
      </c>
      <c r="B33" s="34">
        <v>242.04</v>
      </c>
      <c r="C33" s="34">
        <v>242.77</v>
      </c>
      <c r="D33" s="34">
        <v>242.06</v>
      </c>
      <c r="E33" s="34">
        <v>7.8</v>
      </c>
      <c r="F33" s="34">
        <v>9.9</v>
      </c>
      <c r="G33" s="34">
        <v>8.6999999999999993</v>
      </c>
      <c r="H33" s="34">
        <v>1.6</v>
      </c>
      <c r="I33" s="34">
        <v>0</v>
      </c>
      <c r="J33" s="34">
        <v>1.62</v>
      </c>
      <c r="K33" s="34">
        <v>0.98799999999999999</v>
      </c>
      <c r="L33" s="34">
        <v>1</v>
      </c>
      <c r="M33" s="34">
        <v>2</v>
      </c>
      <c r="N33" s="34"/>
      <c r="O33" s="47">
        <f t="shared" si="0"/>
        <v>6.4</v>
      </c>
      <c r="Q33" s="73"/>
    </row>
    <row r="34" spans="1:17" x14ac:dyDescent="0.3">
      <c r="A34" s="45">
        <v>46177.322916666664</v>
      </c>
      <c r="B34" s="30">
        <v>241.41</v>
      </c>
      <c r="C34" s="30">
        <v>242.05</v>
      </c>
      <c r="D34" s="30">
        <v>241.26</v>
      </c>
      <c r="E34" s="30">
        <v>9.8000000000000007</v>
      </c>
      <c r="F34" s="50">
        <v>0.33333333333333331</v>
      </c>
      <c r="G34" s="50">
        <v>0.375</v>
      </c>
      <c r="H34" s="30">
        <v>1.62</v>
      </c>
      <c r="I34" s="30">
        <v>0</v>
      </c>
      <c r="J34" s="30">
        <v>1.63</v>
      </c>
      <c r="K34" s="30">
        <v>0.99399999999999999</v>
      </c>
      <c r="L34" s="30">
        <v>1</v>
      </c>
      <c r="M34" s="30">
        <v>2</v>
      </c>
      <c r="N34" s="30"/>
      <c r="O34" s="43">
        <f t="shared" si="0"/>
        <v>6.48</v>
      </c>
      <c r="Q34" s="73"/>
    </row>
    <row r="35" spans="1:17" x14ac:dyDescent="0.3">
      <c r="A35" s="46">
        <v>46177.333333333336</v>
      </c>
      <c r="B35" s="34">
        <v>240.91</v>
      </c>
      <c r="C35" s="34">
        <v>241.35</v>
      </c>
      <c r="D35" s="34">
        <v>240.58</v>
      </c>
      <c r="E35" s="34">
        <v>8.1</v>
      </c>
      <c r="F35" s="34">
        <v>9.8000000000000007</v>
      </c>
      <c r="G35" s="34">
        <v>11.2</v>
      </c>
      <c r="H35" s="34">
        <v>1.75</v>
      </c>
      <c r="I35" s="34">
        <v>0</v>
      </c>
      <c r="J35" s="34">
        <v>1.76</v>
      </c>
      <c r="K35" s="34">
        <v>0.99399999999999999</v>
      </c>
      <c r="L35" s="34">
        <v>1</v>
      </c>
      <c r="M35" s="34">
        <v>2</v>
      </c>
      <c r="N35" s="34"/>
      <c r="O35" s="47">
        <f t="shared" si="0"/>
        <v>7</v>
      </c>
      <c r="Q35" s="73"/>
    </row>
    <row r="36" spans="1:17" x14ac:dyDescent="0.3">
      <c r="A36" s="45">
        <v>46177.34375</v>
      </c>
      <c r="B36" s="30">
        <v>239.77</v>
      </c>
      <c r="C36" s="30">
        <v>239.83</v>
      </c>
      <c r="D36" s="30">
        <v>239.07</v>
      </c>
      <c r="E36" s="30">
        <v>7.3</v>
      </c>
      <c r="F36" s="30">
        <v>15.5</v>
      </c>
      <c r="G36" s="30">
        <v>9.3000000000000007</v>
      </c>
      <c r="H36" s="30">
        <v>1.93</v>
      </c>
      <c r="I36" s="30">
        <v>0</v>
      </c>
      <c r="J36" s="30">
        <v>1.94</v>
      </c>
      <c r="K36" s="30">
        <v>0.995</v>
      </c>
      <c r="L36" s="30">
        <v>1</v>
      </c>
      <c r="M36" s="30">
        <v>2</v>
      </c>
      <c r="N36" s="30"/>
      <c r="O36" s="43">
        <f t="shared" si="0"/>
        <v>7.72</v>
      </c>
      <c r="Q36" s="73"/>
    </row>
    <row r="37" spans="1:17" x14ac:dyDescent="0.3">
      <c r="A37" s="46">
        <v>46177.354166666664</v>
      </c>
      <c r="B37" s="34">
        <v>241.42</v>
      </c>
      <c r="C37" s="34">
        <v>242.04</v>
      </c>
      <c r="D37" s="34">
        <v>241.2</v>
      </c>
      <c r="E37" s="34">
        <v>9.9</v>
      </c>
      <c r="F37" s="34">
        <v>7.6</v>
      </c>
      <c r="G37" s="34">
        <v>5.8</v>
      </c>
      <c r="H37" s="34">
        <v>1.4</v>
      </c>
      <c r="I37" s="34">
        <v>0</v>
      </c>
      <c r="J37" s="34">
        <v>1.42</v>
      </c>
      <c r="K37" s="34">
        <v>0.98599999999999999</v>
      </c>
      <c r="L37" s="34">
        <v>1</v>
      </c>
      <c r="M37" s="34">
        <v>2</v>
      </c>
      <c r="N37" s="34"/>
      <c r="O37" s="47">
        <f t="shared" si="0"/>
        <v>5.6</v>
      </c>
      <c r="Q37" s="73"/>
    </row>
    <row r="38" spans="1:17" x14ac:dyDescent="0.3">
      <c r="A38" s="45">
        <v>46177.364583333336</v>
      </c>
      <c r="B38" s="30">
        <v>241.92</v>
      </c>
      <c r="C38" s="30">
        <v>242.11</v>
      </c>
      <c r="D38" s="30">
        <v>242.07</v>
      </c>
      <c r="E38" s="30">
        <v>5.9</v>
      </c>
      <c r="F38" s="30">
        <v>5.5</v>
      </c>
      <c r="G38" s="30">
        <v>3.3</v>
      </c>
      <c r="H38" s="30">
        <v>0.88</v>
      </c>
      <c r="I38" s="30">
        <v>0</v>
      </c>
      <c r="J38" s="30">
        <v>0.9</v>
      </c>
      <c r="K38" s="30">
        <v>0.97799999999999998</v>
      </c>
      <c r="L38" s="30">
        <v>1</v>
      </c>
      <c r="M38" s="30">
        <v>2</v>
      </c>
      <c r="N38" s="30"/>
      <c r="O38" s="43">
        <f t="shared" si="0"/>
        <v>3.52</v>
      </c>
      <c r="Q38" s="73"/>
    </row>
    <row r="39" spans="1:17" x14ac:dyDescent="0.3">
      <c r="A39" s="46">
        <v>46177.375</v>
      </c>
      <c r="B39" s="34">
        <v>242.18</v>
      </c>
      <c r="C39" s="34">
        <v>242.3</v>
      </c>
      <c r="D39" s="34">
        <v>242.69</v>
      </c>
      <c r="E39" s="49">
        <v>0.20833333333333334</v>
      </c>
      <c r="F39" s="34">
        <v>5.8</v>
      </c>
      <c r="G39" s="34">
        <v>3.1</v>
      </c>
      <c r="H39" s="34">
        <v>0.84</v>
      </c>
      <c r="I39" s="34">
        <v>0</v>
      </c>
      <c r="J39" s="34">
        <v>0.85</v>
      </c>
      <c r="K39" s="34">
        <v>0.98799999999999999</v>
      </c>
      <c r="L39" s="34">
        <v>1</v>
      </c>
      <c r="M39" s="34">
        <v>2</v>
      </c>
      <c r="N39" s="34"/>
      <c r="O39" s="47">
        <f t="shared" si="0"/>
        <v>3.36</v>
      </c>
      <c r="Q39" s="73"/>
    </row>
    <row r="40" spans="1:17" x14ac:dyDescent="0.3">
      <c r="A40" s="45">
        <v>46177.385416666664</v>
      </c>
      <c r="B40" s="30">
        <v>241.66</v>
      </c>
      <c r="C40" s="30">
        <v>242.06</v>
      </c>
      <c r="D40" s="30">
        <v>242.06</v>
      </c>
      <c r="E40" s="30">
        <v>6.8</v>
      </c>
      <c r="F40" s="30">
        <v>3.8</v>
      </c>
      <c r="G40" s="30">
        <v>3.1</v>
      </c>
      <c r="H40" s="30">
        <v>0.82</v>
      </c>
      <c r="I40" s="30">
        <v>0</v>
      </c>
      <c r="J40" s="30">
        <v>0.84</v>
      </c>
      <c r="K40" s="30">
        <v>0.97599999999999998</v>
      </c>
      <c r="L40" s="30">
        <v>1</v>
      </c>
      <c r="M40" s="30">
        <v>2</v>
      </c>
      <c r="N40" s="30"/>
      <c r="O40" s="43">
        <f t="shared" si="0"/>
        <v>3.28</v>
      </c>
      <c r="Q40" s="73"/>
    </row>
    <row r="41" spans="1:17" x14ac:dyDescent="0.3">
      <c r="A41" s="46">
        <v>46177.395833333336</v>
      </c>
      <c r="B41" s="34">
        <v>239.11</v>
      </c>
      <c r="C41" s="34">
        <v>239.72</v>
      </c>
      <c r="D41" s="34">
        <v>239</v>
      </c>
      <c r="E41" s="34">
        <v>5.2</v>
      </c>
      <c r="F41" s="34">
        <v>3.5</v>
      </c>
      <c r="G41" s="34">
        <v>3.5</v>
      </c>
      <c r="H41" s="34">
        <v>0.72</v>
      </c>
      <c r="I41" s="34">
        <v>0</v>
      </c>
      <c r="J41" s="34">
        <v>0.74</v>
      </c>
      <c r="K41" s="34">
        <v>0.97299999999999998</v>
      </c>
      <c r="L41" s="34">
        <v>1</v>
      </c>
      <c r="M41" s="34">
        <v>2</v>
      </c>
      <c r="N41" s="34"/>
      <c r="O41" s="47">
        <f t="shared" si="0"/>
        <v>2.88</v>
      </c>
      <c r="Q41" s="73"/>
    </row>
    <row r="42" spans="1:17" x14ac:dyDescent="0.3">
      <c r="A42" s="45">
        <v>46177.40625</v>
      </c>
      <c r="B42" s="30">
        <v>237.09</v>
      </c>
      <c r="C42" s="30">
        <v>237.67</v>
      </c>
      <c r="D42" s="30">
        <v>236.72</v>
      </c>
      <c r="E42" s="50">
        <v>0.20833333333333334</v>
      </c>
      <c r="F42" s="30">
        <v>6.2</v>
      </c>
      <c r="G42" s="30">
        <v>4.9000000000000004</v>
      </c>
      <c r="H42" s="30">
        <v>0.95</v>
      </c>
      <c r="I42" s="30">
        <v>0</v>
      </c>
      <c r="J42" s="30">
        <v>0.97</v>
      </c>
      <c r="K42" s="30">
        <v>0.97899999999999998</v>
      </c>
      <c r="L42" s="30">
        <v>1</v>
      </c>
      <c r="M42" s="30">
        <v>2</v>
      </c>
      <c r="N42" s="30"/>
      <c r="O42" s="43">
        <f t="shared" si="0"/>
        <v>3.8</v>
      </c>
      <c r="Q42" s="73"/>
    </row>
    <row r="43" spans="1:17" x14ac:dyDescent="0.3">
      <c r="A43" s="46">
        <v>46177.416666666664</v>
      </c>
      <c r="B43" s="34">
        <v>238.97</v>
      </c>
      <c r="C43" s="34">
        <v>239.43</v>
      </c>
      <c r="D43" s="34">
        <v>239.12</v>
      </c>
      <c r="E43" s="34">
        <v>4.5</v>
      </c>
      <c r="F43" s="34">
        <v>3.9</v>
      </c>
      <c r="G43" s="34">
        <v>4.4000000000000004</v>
      </c>
      <c r="H43" s="34">
        <v>0.76</v>
      </c>
      <c r="I43" s="34">
        <v>0</v>
      </c>
      <c r="J43" s="34">
        <v>0.78</v>
      </c>
      <c r="K43" s="34">
        <v>0.97399999999999998</v>
      </c>
      <c r="L43" s="34">
        <v>1</v>
      </c>
      <c r="M43" s="34">
        <v>2</v>
      </c>
      <c r="N43" s="34"/>
      <c r="O43" s="47">
        <f t="shared" si="0"/>
        <v>3.04</v>
      </c>
      <c r="Q43" s="73"/>
    </row>
    <row r="44" spans="1:17" x14ac:dyDescent="0.3">
      <c r="A44" s="45">
        <v>46177.427083333336</v>
      </c>
      <c r="B44" s="30">
        <v>239.43</v>
      </c>
      <c r="C44" s="30">
        <v>240.4</v>
      </c>
      <c r="D44" s="30">
        <v>238.43</v>
      </c>
      <c r="E44" s="30">
        <v>4.3</v>
      </c>
      <c r="F44" s="50">
        <v>0.16666666666666666</v>
      </c>
      <c r="G44" s="30">
        <v>4.2</v>
      </c>
      <c r="H44" s="30">
        <v>0.74</v>
      </c>
      <c r="I44" s="30">
        <v>0</v>
      </c>
      <c r="J44" s="30">
        <v>0.76</v>
      </c>
      <c r="K44" s="30">
        <v>0.97399999999999998</v>
      </c>
      <c r="L44" s="30">
        <v>1</v>
      </c>
      <c r="M44" s="30">
        <v>2</v>
      </c>
      <c r="N44" s="30"/>
      <c r="O44" s="43">
        <f t="shared" si="0"/>
        <v>2.96</v>
      </c>
      <c r="Q44" s="73"/>
    </row>
    <row r="45" spans="1:17" x14ac:dyDescent="0.3">
      <c r="A45" s="46">
        <v>46177.4375</v>
      </c>
      <c r="B45" s="34">
        <v>238.87</v>
      </c>
      <c r="C45" s="34">
        <v>239.11</v>
      </c>
      <c r="D45" s="34">
        <v>238.76</v>
      </c>
      <c r="E45" s="34">
        <v>4.5</v>
      </c>
      <c r="F45" s="34">
        <v>4.3</v>
      </c>
      <c r="G45" s="34">
        <v>3.2</v>
      </c>
      <c r="H45" s="34">
        <v>0.71</v>
      </c>
      <c r="I45" s="34">
        <v>0</v>
      </c>
      <c r="J45" s="34">
        <v>0.73</v>
      </c>
      <c r="K45" s="34">
        <v>0.97299999999999998</v>
      </c>
      <c r="L45" s="34">
        <v>1</v>
      </c>
      <c r="M45" s="34">
        <v>2</v>
      </c>
      <c r="N45" s="34"/>
      <c r="O45" s="47">
        <f t="shared" si="0"/>
        <v>2.84</v>
      </c>
      <c r="Q45" s="73"/>
    </row>
    <row r="46" spans="1:17" x14ac:dyDescent="0.3">
      <c r="A46" s="45">
        <v>46177.447916666664</v>
      </c>
      <c r="B46" s="30">
        <v>240.58</v>
      </c>
      <c r="C46" s="30">
        <v>241.52</v>
      </c>
      <c r="D46" s="30">
        <v>239.86</v>
      </c>
      <c r="E46" s="30">
        <v>4.0999999999999996</v>
      </c>
      <c r="F46" s="30">
        <v>4.2</v>
      </c>
      <c r="G46" s="30">
        <v>3.4</v>
      </c>
      <c r="H46" s="30">
        <v>0.7</v>
      </c>
      <c r="I46" s="30">
        <v>0</v>
      </c>
      <c r="J46" s="30">
        <v>0.72</v>
      </c>
      <c r="K46" s="30">
        <v>0.97199999999999998</v>
      </c>
      <c r="L46" s="30">
        <v>1</v>
      </c>
      <c r="M46" s="30">
        <v>2</v>
      </c>
      <c r="N46" s="30"/>
      <c r="O46" s="43">
        <f t="shared" si="0"/>
        <v>2.8</v>
      </c>
      <c r="Q46" s="73"/>
    </row>
    <row r="47" spans="1:17" x14ac:dyDescent="0.3">
      <c r="A47" s="46">
        <v>46177.458333333336</v>
      </c>
      <c r="B47" s="34">
        <v>241.12</v>
      </c>
      <c r="C47" s="34">
        <v>242.14</v>
      </c>
      <c r="D47" s="34">
        <v>240.04</v>
      </c>
      <c r="E47" s="34">
        <v>4.2</v>
      </c>
      <c r="F47" s="49">
        <v>0.16666666666666666</v>
      </c>
      <c r="G47" s="49">
        <v>0.125</v>
      </c>
      <c r="H47" s="34">
        <v>0.67</v>
      </c>
      <c r="I47" s="34">
        <v>0</v>
      </c>
      <c r="J47" s="34">
        <v>0.69</v>
      </c>
      <c r="K47" s="34">
        <v>0.97099999999999997</v>
      </c>
      <c r="L47" s="34">
        <v>1</v>
      </c>
      <c r="M47" s="34">
        <v>2</v>
      </c>
      <c r="N47" s="34"/>
      <c r="O47" s="47">
        <f t="shared" si="0"/>
        <v>2.68</v>
      </c>
      <c r="Q47" s="73"/>
    </row>
    <row r="48" spans="1:17" x14ac:dyDescent="0.3">
      <c r="A48" s="45">
        <v>46177.46875</v>
      </c>
      <c r="B48" s="30">
        <v>240.62</v>
      </c>
      <c r="C48" s="30">
        <v>241.69</v>
      </c>
      <c r="D48" s="30">
        <v>239.42</v>
      </c>
      <c r="E48" s="30">
        <v>4.5</v>
      </c>
      <c r="F48" s="30">
        <v>3.9</v>
      </c>
      <c r="G48" s="30">
        <v>2.4</v>
      </c>
      <c r="H48" s="30">
        <v>0.64</v>
      </c>
      <c r="I48" s="30">
        <v>0</v>
      </c>
      <c r="J48" s="30">
        <v>0.66</v>
      </c>
      <c r="K48" s="30">
        <v>0.97</v>
      </c>
      <c r="L48" s="30">
        <v>1</v>
      </c>
      <c r="M48" s="30">
        <v>2</v>
      </c>
      <c r="N48" s="30"/>
      <c r="O48" s="43">
        <f t="shared" si="0"/>
        <v>2.56</v>
      </c>
      <c r="Q48" s="73"/>
    </row>
    <row r="49" spans="1:17" x14ac:dyDescent="0.3">
      <c r="A49" s="46">
        <v>46177.479166666664</v>
      </c>
      <c r="B49" s="34">
        <v>240.91</v>
      </c>
      <c r="C49" s="34">
        <v>241.95</v>
      </c>
      <c r="D49" s="34">
        <v>239.86</v>
      </c>
      <c r="E49" s="34">
        <v>4.2</v>
      </c>
      <c r="F49" s="49">
        <v>0.16666666666666666</v>
      </c>
      <c r="G49" s="34">
        <v>2.6</v>
      </c>
      <c r="H49" s="34">
        <v>0.64</v>
      </c>
      <c r="I49" s="34">
        <v>0</v>
      </c>
      <c r="J49" s="34">
        <v>0.67</v>
      </c>
      <c r="K49" s="34">
        <v>0.95499999999999996</v>
      </c>
      <c r="L49" s="34">
        <v>1</v>
      </c>
      <c r="M49" s="34">
        <v>2</v>
      </c>
      <c r="N49" s="34"/>
      <c r="O49" s="47">
        <f t="shared" si="0"/>
        <v>2.56</v>
      </c>
      <c r="Q49" s="73"/>
    </row>
    <row r="50" spans="1:17" x14ac:dyDescent="0.3">
      <c r="A50" s="45">
        <v>46177.489583333336</v>
      </c>
      <c r="B50" s="30">
        <v>241.57</v>
      </c>
      <c r="C50" s="30">
        <v>242.49</v>
      </c>
      <c r="D50" s="30">
        <v>241.19</v>
      </c>
      <c r="E50" s="50">
        <v>0.16666666666666666</v>
      </c>
      <c r="F50" s="30">
        <v>4.3</v>
      </c>
      <c r="G50" s="30">
        <v>3.4</v>
      </c>
      <c r="H50" s="30">
        <v>0.7</v>
      </c>
      <c r="I50" s="30">
        <v>0</v>
      </c>
      <c r="J50" s="30">
        <v>0.72</v>
      </c>
      <c r="K50" s="30">
        <v>0.97199999999999998</v>
      </c>
      <c r="L50" s="30">
        <v>1</v>
      </c>
      <c r="M50" s="30">
        <v>2</v>
      </c>
      <c r="N50" s="30"/>
      <c r="O50" s="43">
        <f t="shared" si="0"/>
        <v>2.8</v>
      </c>
      <c r="Q50" s="73"/>
    </row>
    <row r="51" spans="1:17" x14ac:dyDescent="0.3">
      <c r="A51" s="46">
        <v>46177.5</v>
      </c>
      <c r="B51" s="34">
        <v>241.01</v>
      </c>
      <c r="C51" s="34">
        <v>241.9</v>
      </c>
      <c r="D51" s="34">
        <v>240.93</v>
      </c>
      <c r="E51" s="34">
        <v>4.4000000000000004</v>
      </c>
      <c r="F51" s="34">
        <v>4.8</v>
      </c>
      <c r="G51" s="34">
        <v>2.5</v>
      </c>
      <c r="H51" s="34">
        <v>0.69</v>
      </c>
      <c r="I51" s="34">
        <v>0</v>
      </c>
      <c r="J51" s="34">
        <v>0.72</v>
      </c>
      <c r="K51" s="34">
        <v>0.95799999999999996</v>
      </c>
      <c r="L51" s="34">
        <v>1</v>
      </c>
      <c r="M51" s="34">
        <v>2</v>
      </c>
      <c r="N51" s="34"/>
      <c r="O51" s="47">
        <f t="shared" si="0"/>
        <v>2.76</v>
      </c>
      <c r="Q51" s="73"/>
    </row>
    <row r="52" spans="1:17" x14ac:dyDescent="0.3">
      <c r="A52" s="45">
        <v>46177.510416666664</v>
      </c>
      <c r="B52" s="30">
        <v>241.44</v>
      </c>
      <c r="C52" s="30">
        <v>242.31</v>
      </c>
      <c r="D52" s="30">
        <v>241.24</v>
      </c>
      <c r="E52" s="30">
        <v>4.3</v>
      </c>
      <c r="F52" s="30">
        <v>4.7</v>
      </c>
      <c r="G52" s="30">
        <v>2.7</v>
      </c>
      <c r="H52" s="30">
        <v>0.69</v>
      </c>
      <c r="I52" s="30">
        <v>0</v>
      </c>
      <c r="J52" s="30">
        <v>0.72</v>
      </c>
      <c r="K52" s="30">
        <v>0.95799999999999996</v>
      </c>
      <c r="L52" s="30">
        <v>1</v>
      </c>
      <c r="M52" s="30">
        <v>2</v>
      </c>
      <c r="N52" s="30"/>
      <c r="O52" s="43">
        <f t="shared" si="0"/>
        <v>2.76</v>
      </c>
      <c r="Q52" s="73"/>
    </row>
    <row r="53" spans="1:17" x14ac:dyDescent="0.3">
      <c r="A53" s="46">
        <v>46177.520833333336</v>
      </c>
      <c r="B53" s="34">
        <v>242.42</v>
      </c>
      <c r="C53" s="34">
        <v>243.47</v>
      </c>
      <c r="D53" s="34">
        <v>242</v>
      </c>
      <c r="E53" s="34">
        <v>4.5999999999999996</v>
      </c>
      <c r="F53" s="34">
        <v>4.0999999999999996</v>
      </c>
      <c r="G53" s="34">
        <v>3.6</v>
      </c>
      <c r="H53" s="34">
        <v>0.74</v>
      </c>
      <c r="I53" s="34">
        <v>0</v>
      </c>
      <c r="J53" s="34">
        <v>0.76</v>
      </c>
      <c r="K53" s="34">
        <v>0.97399999999999998</v>
      </c>
      <c r="L53" s="34">
        <v>1</v>
      </c>
      <c r="M53" s="34">
        <v>2</v>
      </c>
      <c r="N53" s="34"/>
      <c r="O53" s="47">
        <f t="shared" si="0"/>
        <v>2.96</v>
      </c>
      <c r="Q53" s="73"/>
    </row>
    <row r="54" spans="1:17" x14ac:dyDescent="0.3">
      <c r="A54" s="45">
        <v>46177.53125</v>
      </c>
      <c r="B54" s="30">
        <v>243.39</v>
      </c>
      <c r="C54" s="30">
        <v>244.33</v>
      </c>
      <c r="D54" s="30">
        <v>242.85</v>
      </c>
      <c r="E54" s="30">
        <v>4.3</v>
      </c>
      <c r="F54" s="30">
        <v>4.3</v>
      </c>
      <c r="G54" s="50">
        <v>0.16666666666666666</v>
      </c>
      <c r="H54" s="30">
        <v>0.76</v>
      </c>
      <c r="I54" s="30">
        <v>0</v>
      </c>
      <c r="J54" s="30">
        <v>0.78</v>
      </c>
      <c r="K54" s="30">
        <v>0.97399999999999998</v>
      </c>
      <c r="L54" s="30">
        <v>1</v>
      </c>
      <c r="M54" s="30">
        <v>2</v>
      </c>
      <c r="N54" s="30"/>
      <c r="O54" s="43">
        <f t="shared" si="0"/>
        <v>3.04</v>
      </c>
      <c r="Q54" s="73"/>
    </row>
    <row r="55" spans="1:17" x14ac:dyDescent="0.3">
      <c r="A55" s="46">
        <v>46177.541666666664</v>
      </c>
      <c r="B55" s="34">
        <v>242.91</v>
      </c>
      <c r="C55" s="34">
        <v>243.63</v>
      </c>
      <c r="D55" s="34">
        <v>242.05</v>
      </c>
      <c r="E55" s="34">
        <v>4.4000000000000004</v>
      </c>
      <c r="F55" s="34">
        <v>5.8</v>
      </c>
      <c r="G55" s="34">
        <v>5.4</v>
      </c>
      <c r="H55" s="34">
        <v>0.94</v>
      </c>
      <c r="I55" s="34">
        <v>0</v>
      </c>
      <c r="J55" s="34">
        <v>0.96</v>
      </c>
      <c r="K55" s="34">
        <v>0.97899999999999998</v>
      </c>
      <c r="L55" s="34">
        <v>1</v>
      </c>
      <c r="M55" s="34">
        <v>2</v>
      </c>
      <c r="N55" s="34"/>
      <c r="O55" s="47">
        <f t="shared" si="0"/>
        <v>3.76</v>
      </c>
      <c r="Q55" s="73"/>
    </row>
    <row r="56" spans="1:17" x14ac:dyDescent="0.3">
      <c r="A56" s="45">
        <v>46177.552083333336</v>
      </c>
      <c r="B56" s="30">
        <v>242.87</v>
      </c>
      <c r="C56" s="30">
        <v>243.47</v>
      </c>
      <c r="D56" s="30">
        <v>241.96</v>
      </c>
      <c r="E56" s="30">
        <v>4.9000000000000004</v>
      </c>
      <c r="F56" s="30">
        <v>4.3</v>
      </c>
      <c r="G56" s="30">
        <v>4.9000000000000004</v>
      </c>
      <c r="H56" s="30">
        <v>0.85</v>
      </c>
      <c r="I56" s="30">
        <v>0</v>
      </c>
      <c r="J56" s="30">
        <v>0.87</v>
      </c>
      <c r="K56" s="30">
        <v>0.97699999999999998</v>
      </c>
      <c r="L56" s="30">
        <v>1</v>
      </c>
      <c r="M56" s="30">
        <v>2</v>
      </c>
      <c r="N56" s="30"/>
      <c r="O56" s="43">
        <f t="shared" si="0"/>
        <v>3.4</v>
      </c>
      <c r="Q56" s="73"/>
    </row>
    <row r="57" spans="1:17" x14ac:dyDescent="0.3">
      <c r="A57" s="46">
        <v>46177.5625</v>
      </c>
      <c r="B57" s="34">
        <v>242.11</v>
      </c>
      <c r="C57" s="34">
        <v>242.98</v>
      </c>
      <c r="D57" s="34">
        <v>240.97</v>
      </c>
      <c r="E57" s="34">
        <v>6.9</v>
      </c>
      <c r="F57" s="34">
        <v>4.5</v>
      </c>
      <c r="G57" s="34">
        <v>4.8</v>
      </c>
      <c r="H57" s="34">
        <v>0.97</v>
      </c>
      <c r="I57" s="34">
        <v>0</v>
      </c>
      <c r="J57" s="34">
        <v>0.99</v>
      </c>
      <c r="K57" s="34">
        <v>0.98</v>
      </c>
      <c r="L57" s="34">
        <v>1</v>
      </c>
      <c r="M57" s="34">
        <v>2</v>
      </c>
      <c r="N57" s="34"/>
      <c r="O57" s="47">
        <f t="shared" si="0"/>
        <v>3.88</v>
      </c>
      <c r="Q57" s="73"/>
    </row>
    <row r="58" spans="1:17" x14ac:dyDescent="0.3">
      <c r="A58" s="45">
        <v>46177.572916666664</v>
      </c>
      <c r="B58" s="30">
        <v>237.51</v>
      </c>
      <c r="C58" s="30">
        <v>238.35</v>
      </c>
      <c r="D58" s="30">
        <v>237.2</v>
      </c>
      <c r="E58" s="30">
        <v>4.5999999999999996</v>
      </c>
      <c r="F58" s="30">
        <v>4.0999999999999996</v>
      </c>
      <c r="G58" s="30">
        <v>4.8</v>
      </c>
      <c r="H58" s="30">
        <v>0.79</v>
      </c>
      <c r="I58" s="30">
        <v>0</v>
      </c>
      <c r="J58" s="30">
        <v>0.81</v>
      </c>
      <c r="K58" s="30">
        <v>0.97499999999999998</v>
      </c>
      <c r="L58" s="30">
        <v>1</v>
      </c>
      <c r="M58" s="30">
        <v>2</v>
      </c>
      <c r="N58" s="30"/>
      <c r="O58" s="43">
        <f t="shared" si="0"/>
        <v>3.16</v>
      </c>
      <c r="Q58" s="73"/>
    </row>
    <row r="59" spans="1:17" x14ac:dyDescent="0.3">
      <c r="A59" s="46">
        <v>46177.583333333336</v>
      </c>
      <c r="B59" s="34">
        <v>237.09</v>
      </c>
      <c r="C59" s="34">
        <v>238</v>
      </c>
      <c r="D59" s="34">
        <v>236.66</v>
      </c>
      <c r="E59" s="34">
        <v>5.0999999999999996</v>
      </c>
      <c r="F59" s="34">
        <v>4.0999999999999996</v>
      </c>
      <c r="G59" s="34">
        <v>5.6</v>
      </c>
      <c r="H59" s="34">
        <v>0.87</v>
      </c>
      <c r="I59" s="34">
        <v>0</v>
      </c>
      <c r="J59" s="34">
        <v>0.88</v>
      </c>
      <c r="K59" s="34">
        <v>0.98899999999999999</v>
      </c>
      <c r="L59" s="34">
        <v>1</v>
      </c>
      <c r="M59" s="34">
        <v>2</v>
      </c>
      <c r="N59" s="34"/>
      <c r="O59" s="47">
        <f t="shared" si="0"/>
        <v>3.48</v>
      </c>
      <c r="Q59" s="73"/>
    </row>
    <row r="60" spans="1:17" x14ac:dyDescent="0.3">
      <c r="A60" s="45">
        <v>46177.59375</v>
      </c>
      <c r="B60" s="30">
        <v>236.67</v>
      </c>
      <c r="C60" s="30">
        <v>237.71</v>
      </c>
      <c r="D60" s="30">
        <v>235.95</v>
      </c>
      <c r="E60" s="30">
        <v>8.6</v>
      </c>
      <c r="F60" s="30">
        <v>4.3</v>
      </c>
      <c r="G60" s="30">
        <v>5.2</v>
      </c>
      <c r="H60" s="30">
        <v>1.07</v>
      </c>
      <c r="I60" s="30">
        <v>0</v>
      </c>
      <c r="J60" s="30">
        <v>1.08</v>
      </c>
      <c r="K60" s="30">
        <v>0.99099999999999999</v>
      </c>
      <c r="L60" s="30">
        <v>1</v>
      </c>
      <c r="M60" s="30">
        <v>2</v>
      </c>
      <c r="N60" s="30"/>
      <c r="O60" s="43">
        <f t="shared" si="0"/>
        <v>4.28</v>
      </c>
      <c r="Q60" s="73"/>
    </row>
    <row r="61" spans="1:17" x14ac:dyDescent="0.3">
      <c r="A61" s="46">
        <v>46177.604166666664</v>
      </c>
      <c r="B61" s="34">
        <v>236.51</v>
      </c>
      <c r="C61" s="34">
        <v>237.33</v>
      </c>
      <c r="D61" s="34">
        <v>235.63</v>
      </c>
      <c r="E61" s="34">
        <v>7.1</v>
      </c>
      <c r="F61" s="49">
        <v>0.20833333333333334</v>
      </c>
      <c r="G61" s="34">
        <v>5.2</v>
      </c>
      <c r="H61" s="34">
        <v>1.01</v>
      </c>
      <c r="I61" s="34">
        <v>0</v>
      </c>
      <c r="J61" s="34">
        <v>1.03</v>
      </c>
      <c r="K61" s="34">
        <v>0.98099999999999998</v>
      </c>
      <c r="L61" s="34">
        <v>1</v>
      </c>
      <c r="M61" s="34">
        <v>2</v>
      </c>
      <c r="N61" s="34"/>
      <c r="O61" s="47">
        <f t="shared" si="0"/>
        <v>4.04</v>
      </c>
      <c r="Q61" s="73"/>
    </row>
    <row r="62" spans="1:17" x14ac:dyDescent="0.3">
      <c r="A62" s="45">
        <v>46177.614583333336</v>
      </c>
      <c r="B62" s="30">
        <v>242.13</v>
      </c>
      <c r="C62" s="30">
        <v>242.78</v>
      </c>
      <c r="D62" s="30">
        <v>241.83</v>
      </c>
      <c r="E62" s="50">
        <v>0.25</v>
      </c>
      <c r="F62" s="30">
        <v>5.2</v>
      </c>
      <c r="G62" s="30">
        <v>5.8</v>
      </c>
      <c r="H62" s="30">
        <v>1.02</v>
      </c>
      <c r="I62" s="30">
        <v>0</v>
      </c>
      <c r="J62" s="30">
        <v>1.04</v>
      </c>
      <c r="K62" s="30">
        <v>0.98099999999999998</v>
      </c>
      <c r="L62" s="30">
        <v>1</v>
      </c>
      <c r="M62" s="30">
        <v>2</v>
      </c>
      <c r="N62" s="30"/>
      <c r="O62" s="43">
        <f t="shared" si="0"/>
        <v>4.08</v>
      </c>
      <c r="Q62" s="73"/>
    </row>
    <row r="63" spans="1:17" x14ac:dyDescent="0.3">
      <c r="A63" s="46">
        <v>46177.625</v>
      </c>
      <c r="B63" s="34">
        <v>241.94</v>
      </c>
      <c r="C63" s="34">
        <v>242.36</v>
      </c>
      <c r="D63" s="34">
        <v>242.02</v>
      </c>
      <c r="E63" s="34">
        <v>6.2</v>
      </c>
      <c r="F63" s="34">
        <v>6.3</v>
      </c>
      <c r="G63" s="49">
        <v>0.25</v>
      </c>
      <c r="H63" s="34">
        <v>1.1100000000000001</v>
      </c>
      <c r="I63" s="34">
        <v>0</v>
      </c>
      <c r="J63" s="34">
        <v>1.1299999999999999</v>
      </c>
      <c r="K63" s="34">
        <v>0.98199999999999998</v>
      </c>
      <c r="L63" s="34">
        <v>1</v>
      </c>
      <c r="M63" s="34">
        <v>2</v>
      </c>
      <c r="N63" s="34"/>
      <c r="O63" s="47">
        <f t="shared" si="0"/>
        <v>4.4400000000000004</v>
      </c>
      <c r="Q63" s="73"/>
    </row>
    <row r="64" spans="1:17" x14ac:dyDescent="0.3">
      <c r="A64" s="45">
        <v>46177.635416666664</v>
      </c>
      <c r="B64" s="30">
        <v>242.51</v>
      </c>
      <c r="C64" s="30">
        <v>242.94</v>
      </c>
      <c r="D64" s="30">
        <v>242.3</v>
      </c>
      <c r="E64" s="30">
        <v>6.3</v>
      </c>
      <c r="F64" s="30">
        <v>5.8</v>
      </c>
      <c r="G64" s="30">
        <v>5.7</v>
      </c>
      <c r="H64" s="30">
        <v>1.07</v>
      </c>
      <c r="I64" s="30">
        <v>0</v>
      </c>
      <c r="J64" s="30">
        <v>1.0900000000000001</v>
      </c>
      <c r="K64" s="30">
        <v>0.98199999999999998</v>
      </c>
      <c r="L64" s="30">
        <v>1</v>
      </c>
      <c r="M64" s="30">
        <v>2</v>
      </c>
      <c r="N64" s="30"/>
      <c r="O64" s="43">
        <f t="shared" si="0"/>
        <v>4.28</v>
      </c>
      <c r="Q64" s="73"/>
    </row>
    <row r="65" spans="1:17" x14ac:dyDescent="0.3">
      <c r="A65" s="46">
        <v>46177.645833333336</v>
      </c>
      <c r="B65" s="34">
        <v>242.44</v>
      </c>
      <c r="C65" s="34">
        <v>242.95</v>
      </c>
      <c r="D65" s="34">
        <v>242.42</v>
      </c>
      <c r="E65" s="34">
        <v>6.4</v>
      </c>
      <c r="F65" s="49">
        <v>0.25</v>
      </c>
      <c r="G65" s="34">
        <v>5.3</v>
      </c>
      <c r="H65" s="34">
        <v>1.06</v>
      </c>
      <c r="I65" s="34">
        <v>0</v>
      </c>
      <c r="J65" s="34">
        <v>1.08</v>
      </c>
      <c r="K65" s="34">
        <v>0.98099999999999998</v>
      </c>
      <c r="L65" s="34">
        <v>1</v>
      </c>
      <c r="M65" s="34">
        <v>2</v>
      </c>
      <c r="N65" s="34"/>
      <c r="O65" s="47">
        <f t="shared" si="0"/>
        <v>4.24</v>
      </c>
      <c r="Q65" s="73"/>
    </row>
    <row r="66" spans="1:17" x14ac:dyDescent="0.3">
      <c r="A66" s="45">
        <v>46177.65625</v>
      </c>
      <c r="B66" s="30">
        <v>241.42</v>
      </c>
      <c r="C66" s="30">
        <v>241.77</v>
      </c>
      <c r="D66" s="30">
        <v>241.81</v>
      </c>
      <c r="E66" s="30">
        <v>6.1</v>
      </c>
      <c r="F66" s="30">
        <v>6.1</v>
      </c>
      <c r="G66" s="30">
        <v>5.8</v>
      </c>
      <c r="H66" s="30">
        <v>1.07</v>
      </c>
      <c r="I66" s="30">
        <v>0</v>
      </c>
      <c r="J66" s="30">
        <v>1.0900000000000001</v>
      </c>
      <c r="K66" s="30">
        <v>0.98199999999999998</v>
      </c>
      <c r="L66" s="30">
        <v>1</v>
      </c>
      <c r="M66" s="30">
        <v>2</v>
      </c>
      <c r="N66" s="30"/>
      <c r="O66" s="43">
        <f t="shared" si="0"/>
        <v>4.28</v>
      </c>
      <c r="Q66" s="73"/>
    </row>
    <row r="67" spans="1:17" x14ac:dyDescent="0.3">
      <c r="A67" s="46">
        <v>46177.666666666664</v>
      </c>
      <c r="B67" s="34">
        <v>240.24</v>
      </c>
      <c r="C67" s="34">
        <v>240.68</v>
      </c>
      <c r="D67" s="34">
        <v>239.9</v>
      </c>
      <c r="E67" s="34">
        <v>5.8</v>
      </c>
      <c r="F67" s="34">
        <v>5.7</v>
      </c>
      <c r="G67" s="34">
        <v>6.3</v>
      </c>
      <c r="H67" s="34">
        <v>1.06</v>
      </c>
      <c r="I67" s="34">
        <v>0</v>
      </c>
      <c r="J67" s="34">
        <v>1.08</v>
      </c>
      <c r="K67" s="34">
        <v>0.98099999999999998</v>
      </c>
      <c r="L67" s="34">
        <v>1</v>
      </c>
      <c r="M67" s="34">
        <v>2</v>
      </c>
      <c r="N67" s="34"/>
      <c r="O67" s="47">
        <f t="shared" si="0"/>
        <v>4.24</v>
      </c>
      <c r="Q67" s="73"/>
    </row>
    <row r="68" spans="1:17" x14ac:dyDescent="0.3">
      <c r="A68" s="45">
        <v>46177.677083333336</v>
      </c>
      <c r="B68" s="30">
        <v>239.56</v>
      </c>
      <c r="C68" s="30">
        <v>240.1</v>
      </c>
      <c r="D68" s="30">
        <v>239.23</v>
      </c>
      <c r="E68" s="30">
        <v>7.1</v>
      </c>
      <c r="F68" s="30">
        <v>5.7</v>
      </c>
      <c r="G68" s="30">
        <v>6.3</v>
      </c>
      <c r="H68" s="30">
        <v>1.1399999999999999</v>
      </c>
      <c r="I68" s="30">
        <v>0</v>
      </c>
      <c r="J68" s="30">
        <v>1.1499999999999999</v>
      </c>
      <c r="K68" s="30">
        <v>0.99099999999999999</v>
      </c>
      <c r="L68" s="30">
        <v>1</v>
      </c>
      <c r="M68" s="30">
        <v>2</v>
      </c>
      <c r="N68" s="30"/>
      <c r="O68" s="43">
        <f t="shared" ref="O68:O98" si="1">H68*4</f>
        <v>4.5599999999999996</v>
      </c>
      <c r="Q68" s="73"/>
    </row>
    <row r="69" spans="1:17" x14ac:dyDescent="0.3">
      <c r="A69" s="46">
        <v>46177.6875</v>
      </c>
      <c r="B69" s="34">
        <v>238.2</v>
      </c>
      <c r="C69" s="34">
        <v>238.79</v>
      </c>
      <c r="D69" s="34">
        <v>237.91</v>
      </c>
      <c r="E69" s="34">
        <v>5.4</v>
      </c>
      <c r="F69" s="34">
        <v>5.9</v>
      </c>
      <c r="G69" s="34">
        <v>6.1</v>
      </c>
      <c r="H69" s="34">
        <v>1.03</v>
      </c>
      <c r="I69" s="34">
        <v>0</v>
      </c>
      <c r="J69" s="34">
        <v>1.05</v>
      </c>
      <c r="K69" s="34">
        <v>0.98099999999999998</v>
      </c>
      <c r="L69" s="34">
        <v>1</v>
      </c>
      <c r="M69" s="34">
        <v>2</v>
      </c>
      <c r="N69" s="34"/>
      <c r="O69" s="47">
        <f t="shared" si="1"/>
        <v>4.12</v>
      </c>
      <c r="Q69" s="73"/>
    </row>
    <row r="70" spans="1:17" x14ac:dyDescent="0.3">
      <c r="A70" s="45">
        <v>46177.697916666664</v>
      </c>
      <c r="B70" s="30">
        <v>237.89</v>
      </c>
      <c r="C70" s="30">
        <v>238.27</v>
      </c>
      <c r="D70" s="30">
        <v>237.19</v>
      </c>
      <c r="E70" s="30">
        <v>4.9000000000000004</v>
      </c>
      <c r="F70" s="30">
        <v>9.1</v>
      </c>
      <c r="G70" s="30">
        <v>5.8</v>
      </c>
      <c r="H70" s="30">
        <v>1.17</v>
      </c>
      <c r="I70" s="30">
        <v>0</v>
      </c>
      <c r="J70" s="30">
        <v>1.18</v>
      </c>
      <c r="K70" s="30">
        <v>0.99199999999999999</v>
      </c>
      <c r="L70" s="30">
        <v>1</v>
      </c>
      <c r="M70" s="30">
        <v>2</v>
      </c>
      <c r="N70" s="30"/>
      <c r="O70" s="43">
        <f t="shared" si="1"/>
        <v>4.68</v>
      </c>
      <c r="Q70" s="73"/>
    </row>
    <row r="71" spans="1:17" x14ac:dyDescent="0.3">
      <c r="A71" s="46">
        <v>46177.708333333336</v>
      </c>
      <c r="B71" s="34">
        <v>236.64</v>
      </c>
      <c r="C71" s="34">
        <v>237.03</v>
      </c>
      <c r="D71" s="34">
        <v>237.03</v>
      </c>
      <c r="E71" s="34">
        <v>4.9000000000000004</v>
      </c>
      <c r="F71" s="34">
        <v>5.8</v>
      </c>
      <c r="G71" s="34">
        <v>5.2</v>
      </c>
      <c r="H71" s="34">
        <v>0.93</v>
      </c>
      <c r="I71" s="34">
        <v>0</v>
      </c>
      <c r="J71" s="34">
        <v>0.95</v>
      </c>
      <c r="K71" s="34">
        <v>0.97899999999999998</v>
      </c>
      <c r="L71" s="34">
        <v>1</v>
      </c>
      <c r="M71" s="34">
        <v>2</v>
      </c>
      <c r="N71" s="34"/>
      <c r="O71" s="47">
        <f t="shared" si="1"/>
        <v>3.72</v>
      </c>
      <c r="Q71" s="73"/>
    </row>
    <row r="72" spans="1:17" x14ac:dyDescent="0.3">
      <c r="A72" s="45">
        <v>46177.71875</v>
      </c>
      <c r="B72" s="30">
        <v>234.2</v>
      </c>
      <c r="C72" s="30">
        <v>234.45</v>
      </c>
      <c r="D72" s="30">
        <v>234.83</v>
      </c>
      <c r="E72" s="30">
        <v>4.8</v>
      </c>
      <c r="F72" s="30">
        <v>6.8</v>
      </c>
      <c r="G72" s="30">
        <v>5.2</v>
      </c>
      <c r="H72" s="30">
        <v>0.97</v>
      </c>
      <c r="I72" s="30">
        <v>0</v>
      </c>
      <c r="J72" s="30">
        <v>0.99</v>
      </c>
      <c r="K72" s="30">
        <v>0.98</v>
      </c>
      <c r="L72" s="30">
        <v>1</v>
      </c>
      <c r="M72" s="30">
        <v>2</v>
      </c>
      <c r="N72" s="30"/>
      <c r="O72" s="43">
        <f t="shared" si="1"/>
        <v>3.88</v>
      </c>
      <c r="Q72" s="73"/>
    </row>
    <row r="73" spans="1:17" x14ac:dyDescent="0.3">
      <c r="A73" s="46">
        <v>46177.729166666664</v>
      </c>
      <c r="B73" s="34">
        <v>235.19</v>
      </c>
      <c r="C73" s="34">
        <v>235.21</v>
      </c>
      <c r="D73" s="34">
        <v>235.54</v>
      </c>
      <c r="E73" s="34">
        <v>4.5</v>
      </c>
      <c r="F73" s="34">
        <v>9.1999999999999993</v>
      </c>
      <c r="G73" s="34">
        <v>5.7</v>
      </c>
      <c r="H73" s="34">
        <v>1.1399999999999999</v>
      </c>
      <c r="I73" s="34">
        <v>0</v>
      </c>
      <c r="J73" s="34">
        <v>1.1499999999999999</v>
      </c>
      <c r="K73" s="34">
        <v>0.99099999999999999</v>
      </c>
      <c r="L73" s="34">
        <v>1</v>
      </c>
      <c r="M73" s="34">
        <v>2</v>
      </c>
      <c r="N73" s="34"/>
      <c r="O73" s="47">
        <f t="shared" si="1"/>
        <v>4.5599999999999996</v>
      </c>
      <c r="Q73" s="73"/>
    </row>
    <row r="74" spans="1:17" x14ac:dyDescent="0.3">
      <c r="A74" s="45">
        <v>46177.739583333336</v>
      </c>
      <c r="B74" s="30">
        <v>236.18</v>
      </c>
      <c r="C74" s="30">
        <v>236.23</v>
      </c>
      <c r="D74" s="30">
        <v>236.45</v>
      </c>
      <c r="E74" s="30">
        <v>4.4000000000000004</v>
      </c>
      <c r="F74" s="30">
        <v>7.6</v>
      </c>
      <c r="G74" s="30">
        <v>5.9</v>
      </c>
      <c r="H74" s="30">
        <v>1.05</v>
      </c>
      <c r="I74" s="30">
        <v>0</v>
      </c>
      <c r="J74" s="30">
        <v>1.06</v>
      </c>
      <c r="K74" s="30">
        <v>0.99099999999999999</v>
      </c>
      <c r="L74" s="30">
        <v>1</v>
      </c>
      <c r="M74" s="30">
        <v>2</v>
      </c>
      <c r="N74" s="30"/>
      <c r="O74" s="43">
        <f t="shared" si="1"/>
        <v>4.2</v>
      </c>
      <c r="Q74" s="73"/>
    </row>
    <row r="75" spans="1:17" x14ac:dyDescent="0.3">
      <c r="A75" s="46">
        <v>46177.75</v>
      </c>
      <c r="B75" s="34">
        <v>236.61</v>
      </c>
      <c r="C75" s="34">
        <v>236.72</v>
      </c>
      <c r="D75" s="34">
        <v>236.67</v>
      </c>
      <c r="E75" s="34">
        <v>4.8</v>
      </c>
      <c r="F75" s="34">
        <v>7.4</v>
      </c>
      <c r="G75" s="34">
        <v>6.1</v>
      </c>
      <c r="H75" s="34">
        <v>1.08</v>
      </c>
      <c r="I75" s="34">
        <v>0</v>
      </c>
      <c r="J75" s="34">
        <v>1.0900000000000001</v>
      </c>
      <c r="K75" s="34">
        <v>0.99099999999999999</v>
      </c>
      <c r="L75" s="34">
        <v>1</v>
      </c>
      <c r="M75" s="34">
        <v>2</v>
      </c>
      <c r="N75" s="34"/>
      <c r="O75" s="47">
        <f t="shared" si="1"/>
        <v>4.32</v>
      </c>
      <c r="Q75" s="73"/>
    </row>
    <row r="76" spans="1:17" x14ac:dyDescent="0.3">
      <c r="A76" s="45">
        <v>46177.760416666664</v>
      </c>
      <c r="B76" s="30">
        <v>236.38</v>
      </c>
      <c r="C76" s="30">
        <v>236.49</v>
      </c>
      <c r="D76" s="30">
        <v>236.44</v>
      </c>
      <c r="E76" s="30">
        <v>5.4</v>
      </c>
      <c r="F76" s="30">
        <v>8.9</v>
      </c>
      <c r="G76" s="30">
        <v>6.5</v>
      </c>
      <c r="H76" s="30">
        <v>1.22</v>
      </c>
      <c r="I76" s="30">
        <v>0</v>
      </c>
      <c r="J76" s="30">
        <v>1.24</v>
      </c>
      <c r="K76" s="30">
        <v>0.98399999999999999</v>
      </c>
      <c r="L76" s="30">
        <v>1</v>
      </c>
      <c r="M76" s="30">
        <v>2</v>
      </c>
      <c r="N76" s="30"/>
      <c r="O76" s="43">
        <f t="shared" si="1"/>
        <v>4.88</v>
      </c>
      <c r="Q76" s="73"/>
    </row>
    <row r="77" spans="1:17" x14ac:dyDescent="0.3">
      <c r="A77" s="46">
        <v>46177.770833333336</v>
      </c>
      <c r="B77" s="34">
        <v>234.78</v>
      </c>
      <c r="C77" s="34">
        <v>234.81</v>
      </c>
      <c r="D77" s="34">
        <v>234.96</v>
      </c>
      <c r="E77" s="49">
        <v>0.33333333333333331</v>
      </c>
      <c r="F77" s="34">
        <v>10.3</v>
      </c>
      <c r="G77" s="34">
        <v>6.2</v>
      </c>
      <c r="H77" s="34">
        <v>1.43</v>
      </c>
      <c r="I77" s="34">
        <v>0</v>
      </c>
      <c r="J77" s="34">
        <v>1.45</v>
      </c>
      <c r="K77" s="34">
        <v>0.98599999999999999</v>
      </c>
      <c r="L77" s="34">
        <v>1</v>
      </c>
      <c r="M77" s="34">
        <v>2</v>
      </c>
      <c r="N77" s="34"/>
      <c r="O77" s="47">
        <f t="shared" si="1"/>
        <v>5.72</v>
      </c>
      <c r="Q77" s="73"/>
    </row>
    <row r="78" spans="1:17" x14ac:dyDescent="0.3">
      <c r="A78" s="45">
        <v>46177.78125</v>
      </c>
      <c r="B78" s="30">
        <v>234.06</v>
      </c>
      <c r="C78" s="30">
        <v>234.12</v>
      </c>
      <c r="D78" s="30">
        <v>233.92</v>
      </c>
      <c r="E78" s="50">
        <v>0.33333333333333331</v>
      </c>
      <c r="F78" s="30">
        <v>7.7</v>
      </c>
      <c r="G78" s="30">
        <v>6.6</v>
      </c>
      <c r="H78" s="30">
        <v>1.29</v>
      </c>
      <c r="I78" s="30">
        <v>0</v>
      </c>
      <c r="J78" s="30">
        <v>1.31</v>
      </c>
      <c r="K78" s="30">
        <v>0.98499999999999999</v>
      </c>
      <c r="L78" s="30">
        <v>1</v>
      </c>
      <c r="M78" s="30">
        <v>2</v>
      </c>
      <c r="N78" s="30"/>
      <c r="O78" s="43">
        <f t="shared" si="1"/>
        <v>5.16</v>
      </c>
      <c r="Q78" s="73"/>
    </row>
    <row r="79" spans="1:17" x14ac:dyDescent="0.3">
      <c r="A79" s="46">
        <v>46177.791666666664</v>
      </c>
      <c r="B79" s="34">
        <v>233.8</v>
      </c>
      <c r="C79" s="34">
        <v>233.95</v>
      </c>
      <c r="D79" s="34">
        <v>233.74</v>
      </c>
      <c r="E79" s="34">
        <v>10.6</v>
      </c>
      <c r="F79" s="34">
        <v>8.9</v>
      </c>
      <c r="G79" s="34">
        <v>7.7</v>
      </c>
      <c r="H79" s="34">
        <v>1.57</v>
      </c>
      <c r="I79" s="34">
        <v>0</v>
      </c>
      <c r="J79" s="34">
        <v>1.61</v>
      </c>
      <c r="K79" s="34">
        <v>0.97499999999999998</v>
      </c>
      <c r="L79" s="34">
        <v>1</v>
      </c>
      <c r="M79" s="34">
        <v>2</v>
      </c>
      <c r="N79" s="34"/>
      <c r="O79" s="47">
        <f t="shared" si="1"/>
        <v>6.28</v>
      </c>
      <c r="Q79" s="73"/>
    </row>
    <row r="80" spans="1:17" x14ac:dyDescent="0.3">
      <c r="A80" s="45">
        <v>46177.802083333336</v>
      </c>
      <c r="B80" s="30">
        <v>235.76</v>
      </c>
      <c r="C80" s="30">
        <v>235.83</v>
      </c>
      <c r="D80" s="30">
        <v>235.7</v>
      </c>
      <c r="E80" s="30">
        <v>7.6</v>
      </c>
      <c r="F80" s="30">
        <v>9.3000000000000007</v>
      </c>
      <c r="G80" s="30">
        <v>8.1999999999999993</v>
      </c>
      <c r="H80" s="30">
        <v>1.45</v>
      </c>
      <c r="I80" s="30">
        <v>0</v>
      </c>
      <c r="J80" s="30">
        <v>1.49</v>
      </c>
      <c r="K80" s="30">
        <v>0.97299999999999998</v>
      </c>
      <c r="L80" s="30">
        <v>1</v>
      </c>
      <c r="M80" s="30">
        <v>2</v>
      </c>
      <c r="N80" s="30"/>
      <c r="O80" s="43">
        <f t="shared" si="1"/>
        <v>5.8</v>
      </c>
      <c r="Q80" s="73"/>
    </row>
    <row r="81" spans="1:17" x14ac:dyDescent="0.3">
      <c r="A81" s="46">
        <v>46177.8125</v>
      </c>
      <c r="B81" s="34">
        <v>236.48</v>
      </c>
      <c r="C81" s="34">
        <v>236.37</v>
      </c>
      <c r="D81" s="34">
        <v>236.42</v>
      </c>
      <c r="E81" s="34">
        <v>7.6</v>
      </c>
      <c r="F81" s="34">
        <v>10.9</v>
      </c>
      <c r="G81" s="34">
        <v>8.5</v>
      </c>
      <c r="H81" s="34">
        <v>1.57</v>
      </c>
      <c r="I81" s="34">
        <v>0</v>
      </c>
      <c r="J81" s="34">
        <v>1.6</v>
      </c>
      <c r="K81" s="34">
        <v>0.98099999999999998</v>
      </c>
      <c r="L81" s="34">
        <v>1</v>
      </c>
      <c r="M81" s="34">
        <v>2</v>
      </c>
      <c r="N81" s="34"/>
      <c r="O81" s="47">
        <f t="shared" si="1"/>
        <v>6.28</v>
      </c>
      <c r="Q81" s="73"/>
    </row>
    <row r="82" spans="1:17" x14ac:dyDescent="0.3">
      <c r="A82" s="45">
        <v>46177.822916666664</v>
      </c>
      <c r="B82" s="30">
        <v>237.11</v>
      </c>
      <c r="C82" s="30">
        <v>237.08</v>
      </c>
      <c r="D82" s="30">
        <v>237.07</v>
      </c>
      <c r="E82" s="30">
        <v>7.4</v>
      </c>
      <c r="F82" s="30">
        <v>12.7</v>
      </c>
      <c r="G82" s="30">
        <v>7.9</v>
      </c>
      <c r="H82" s="30">
        <v>1.64</v>
      </c>
      <c r="I82" s="30">
        <v>0</v>
      </c>
      <c r="J82" s="30">
        <v>1.67</v>
      </c>
      <c r="K82" s="30">
        <v>0.98199999999999998</v>
      </c>
      <c r="L82" s="30">
        <v>1</v>
      </c>
      <c r="M82" s="30">
        <v>2</v>
      </c>
      <c r="N82" s="30"/>
      <c r="O82" s="43">
        <f t="shared" si="1"/>
        <v>6.56</v>
      </c>
      <c r="Q82" s="73"/>
    </row>
    <row r="83" spans="1:17" x14ac:dyDescent="0.3">
      <c r="A83" s="46">
        <v>46177.833333333336</v>
      </c>
      <c r="B83" s="34">
        <v>238.35</v>
      </c>
      <c r="C83" s="34">
        <v>238.46</v>
      </c>
      <c r="D83" s="34">
        <v>238.41</v>
      </c>
      <c r="E83" s="34">
        <v>7.7</v>
      </c>
      <c r="F83" s="34">
        <v>10.8</v>
      </c>
      <c r="G83" s="34">
        <v>8.6999999999999993</v>
      </c>
      <c r="H83" s="34">
        <v>1.59</v>
      </c>
      <c r="I83" s="34">
        <v>0</v>
      </c>
      <c r="J83" s="34">
        <v>1.63</v>
      </c>
      <c r="K83" s="34">
        <v>0.97499999999999998</v>
      </c>
      <c r="L83" s="34">
        <v>1</v>
      </c>
      <c r="M83" s="34">
        <v>2</v>
      </c>
      <c r="N83" s="34"/>
      <c r="O83" s="47">
        <f t="shared" si="1"/>
        <v>6.36</v>
      </c>
      <c r="Q83" s="73"/>
    </row>
    <row r="84" spans="1:17" x14ac:dyDescent="0.3">
      <c r="A84" s="45">
        <v>46177.84375</v>
      </c>
      <c r="B84" s="30">
        <v>239.78</v>
      </c>
      <c r="C84" s="30">
        <v>239.92</v>
      </c>
      <c r="D84" s="30">
        <v>239.77</v>
      </c>
      <c r="E84" s="30">
        <v>8.5</v>
      </c>
      <c r="F84" s="30">
        <v>9.5</v>
      </c>
      <c r="G84" s="30">
        <v>9.6</v>
      </c>
      <c r="H84" s="30">
        <v>1.63</v>
      </c>
      <c r="I84" s="30">
        <v>0</v>
      </c>
      <c r="J84" s="30">
        <v>1.67</v>
      </c>
      <c r="K84" s="30">
        <v>0.97599999999999998</v>
      </c>
      <c r="L84" s="30">
        <v>1</v>
      </c>
      <c r="M84" s="30">
        <v>2</v>
      </c>
      <c r="N84" s="30"/>
      <c r="O84" s="43">
        <f t="shared" si="1"/>
        <v>6.52</v>
      </c>
      <c r="Q84" s="73"/>
    </row>
    <row r="85" spans="1:17" x14ac:dyDescent="0.3">
      <c r="A85" s="46">
        <v>46177.854166666664</v>
      </c>
      <c r="B85" s="34">
        <v>240.39</v>
      </c>
      <c r="C85" s="34">
        <v>240.51</v>
      </c>
      <c r="D85" s="34">
        <v>240.42</v>
      </c>
      <c r="E85" s="34">
        <v>7.8</v>
      </c>
      <c r="F85" s="34">
        <v>10.3</v>
      </c>
      <c r="G85" s="34">
        <v>9.9</v>
      </c>
      <c r="H85" s="34">
        <v>1.65</v>
      </c>
      <c r="I85" s="34">
        <v>0</v>
      </c>
      <c r="J85" s="34">
        <v>1.69</v>
      </c>
      <c r="K85" s="34">
        <v>0.97599999999999998</v>
      </c>
      <c r="L85" s="34">
        <v>1</v>
      </c>
      <c r="M85" s="34">
        <v>2</v>
      </c>
      <c r="N85" s="34"/>
      <c r="O85" s="47">
        <f t="shared" si="1"/>
        <v>6.6</v>
      </c>
      <c r="Q85" s="73"/>
    </row>
    <row r="86" spans="1:17" x14ac:dyDescent="0.3">
      <c r="A86" s="45">
        <v>46177.864583333336</v>
      </c>
      <c r="B86" s="30">
        <v>240.55</v>
      </c>
      <c r="C86" s="30">
        <v>240.57</v>
      </c>
      <c r="D86" s="30">
        <v>240.59</v>
      </c>
      <c r="E86" s="30">
        <v>8.6999999999999993</v>
      </c>
      <c r="F86" s="30">
        <v>12.4</v>
      </c>
      <c r="G86" s="30">
        <v>9.9</v>
      </c>
      <c r="H86" s="30">
        <v>1.83</v>
      </c>
      <c r="I86" s="30">
        <v>0</v>
      </c>
      <c r="J86" s="30">
        <v>1.87</v>
      </c>
      <c r="K86" s="30">
        <v>0.97899999999999998</v>
      </c>
      <c r="L86" s="30">
        <v>1</v>
      </c>
      <c r="M86" s="30">
        <v>2</v>
      </c>
      <c r="N86" s="30"/>
      <c r="O86" s="43">
        <f t="shared" si="1"/>
        <v>7.32</v>
      </c>
      <c r="Q86" s="73"/>
    </row>
    <row r="87" spans="1:17" x14ac:dyDescent="0.3">
      <c r="A87" s="46">
        <v>46177.875</v>
      </c>
      <c r="B87" s="34">
        <v>239.46</v>
      </c>
      <c r="C87" s="34">
        <v>239.65</v>
      </c>
      <c r="D87" s="34">
        <v>239.57</v>
      </c>
      <c r="E87" s="34">
        <v>10.5</v>
      </c>
      <c r="F87" s="34">
        <v>11.2</v>
      </c>
      <c r="G87" s="34">
        <v>10.1</v>
      </c>
      <c r="H87" s="34">
        <v>1.86</v>
      </c>
      <c r="I87" s="34">
        <v>0</v>
      </c>
      <c r="J87" s="34">
        <v>1.91</v>
      </c>
      <c r="K87" s="34">
        <v>0.97399999999999998</v>
      </c>
      <c r="L87" s="34">
        <v>1</v>
      </c>
      <c r="M87" s="34">
        <v>2</v>
      </c>
      <c r="N87" s="34"/>
      <c r="O87" s="47">
        <f t="shared" si="1"/>
        <v>7.44</v>
      </c>
      <c r="Q87" s="73"/>
    </row>
    <row r="88" spans="1:17" x14ac:dyDescent="0.3">
      <c r="A88" s="45">
        <v>46177.885416666664</v>
      </c>
      <c r="B88" s="30">
        <v>239.64</v>
      </c>
      <c r="C88" s="30">
        <v>239.87</v>
      </c>
      <c r="D88" s="30">
        <v>239.86</v>
      </c>
      <c r="E88" s="30">
        <v>10.9</v>
      </c>
      <c r="F88" s="30">
        <v>12.5</v>
      </c>
      <c r="G88" s="30">
        <v>10.5</v>
      </c>
      <c r="H88" s="30">
        <v>1.99</v>
      </c>
      <c r="I88" s="30">
        <v>0</v>
      </c>
      <c r="J88" s="30">
        <v>2.04</v>
      </c>
      <c r="K88" s="30">
        <v>0.97499999999999998</v>
      </c>
      <c r="L88" s="30">
        <v>1</v>
      </c>
      <c r="M88" s="30">
        <v>2</v>
      </c>
      <c r="N88" s="30"/>
      <c r="O88" s="43">
        <f t="shared" si="1"/>
        <v>7.96</v>
      </c>
      <c r="Q88" s="73"/>
    </row>
    <row r="89" spans="1:17" x14ac:dyDescent="0.3">
      <c r="A89" s="46">
        <v>46177.895833333336</v>
      </c>
      <c r="B89" s="34">
        <v>240.99</v>
      </c>
      <c r="C89" s="34">
        <v>241.2</v>
      </c>
      <c r="D89" s="34">
        <v>241.28</v>
      </c>
      <c r="E89" s="34">
        <v>10.9</v>
      </c>
      <c r="F89" s="34">
        <v>14.2</v>
      </c>
      <c r="G89" s="34">
        <v>10.1</v>
      </c>
      <c r="H89" s="34">
        <v>2.09</v>
      </c>
      <c r="I89" s="34">
        <v>0</v>
      </c>
      <c r="J89" s="34">
        <v>2.14</v>
      </c>
      <c r="K89" s="34">
        <v>0.97699999999999998</v>
      </c>
      <c r="L89" s="34">
        <v>1</v>
      </c>
      <c r="M89" s="34">
        <v>2</v>
      </c>
      <c r="N89" s="34"/>
      <c r="O89" s="47">
        <f t="shared" si="1"/>
        <v>8.36</v>
      </c>
      <c r="Q89" s="73"/>
    </row>
    <row r="90" spans="1:17" x14ac:dyDescent="0.3">
      <c r="A90" s="45">
        <v>46177.90625</v>
      </c>
      <c r="B90" s="30">
        <v>240.39</v>
      </c>
      <c r="C90" s="30">
        <v>240.71</v>
      </c>
      <c r="D90" s="30">
        <v>240.73</v>
      </c>
      <c r="E90" s="30">
        <v>10.4</v>
      </c>
      <c r="F90" s="50">
        <v>0</v>
      </c>
      <c r="G90" s="30">
        <v>10.199999999999999</v>
      </c>
      <c r="H90" s="30">
        <v>1.92</v>
      </c>
      <c r="I90" s="30">
        <v>0</v>
      </c>
      <c r="J90" s="30">
        <v>1.98</v>
      </c>
      <c r="K90" s="30">
        <v>0.97</v>
      </c>
      <c r="L90" s="30">
        <v>1</v>
      </c>
      <c r="M90" s="30">
        <v>2</v>
      </c>
      <c r="N90" s="30"/>
      <c r="O90" s="43">
        <f t="shared" si="1"/>
        <v>7.68</v>
      </c>
      <c r="Q90" s="73"/>
    </row>
    <row r="91" spans="1:17" x14ac:dyDescent="0.3">
      <c r="A91" s="46">
        <v>46177.916666666664</v>
      </c>
      <c r="B91" s="34">
        <v>240.51</v>
      </c>
      <c r="C91" s="34">
        <v>240.69</v>
      </c>
      <c r="D91" s="34">
        <v>240.86</v>
      </c>
      <c r="E91" s="34">
        <v>9.3000000000000007</v>
      </c>
      <c r="F91" s="34">
        <v>16.899999999999999</v>
      </c>
      <c r="G91" s="34">
        <v>13.5</v>
      </c>
      <c r="H91" s="34">
        <v>2.36</v>
      </c>
      <c r="I91" s="34">
        <v>0</v>
      </c>
      <c r="J91" s="34">
        <v>2.4</v>
      </c>
      <c r="K91" s="34">
        <v>0.98299999999999998</v>
      </c>
      <c r="L91" s="34">
        <v>1</v>
      </c>
      <c r="M91" s="34">
        <v>2</v>
      </c>
      <c r="N91" s="34"/>
      <c r="O91" s="47">
        <f t="shared" si="1"/>
        <v>9.44</v>
      </c>
      <c r="Q91" s="73"/>
    </row>
    <row r="92" spans="1:17" x14ac:dyDescent="0.3">
      <c r="A92" s="45">
        <v>46177.927083333336</v>
      </c>
      <c r="B92" s="30">
        <v>239.38</v>
      </c>
      <c r="C92" s="30">
        <v>239.84</v>
      </c>
      <c r="D92" s="30">
        <v>239.89</v>
      </c>
      <c r="E92" s="30">
        <v>8.4</v>
      </c>
      <c r="F92" s="30">
        <v>12.2</v>
      </c>
      <c r="G92" s="30">
        <v>10.7</v>
      </c>
      <c r="H92" s="30">
        <v>1.84</v>
      </c>
      <c r="I92" s="30">
        <v>0</v>
      </c>
      <c r="J92" s="30">
        <v>1.89</v>
      </c>
      <c r="K92" s="30">
        <v>0.97399999999999998</v>
      </c>
      <c r="L92" s="30">
        <v>1</v>
      </c>
      <c r="M92" s="30">
        <v>2</v>
      </c>
      <c r="N92" s="30"/>
      <c r="O92" s="43">
        <f t="shared" si="1"/>
        <v>7.36</v>
      </c>
      <c r="Q92" s="73"/>
    </row>
    <row r="93" spans="1:17" x14ac:dyDescent="0.3">
      <c r="A93" s="46">
        <v>46177.9375</v>
      </c>
      <c r="B93" s="34">
        <v>241.29</v>
      </c>
      <c r="C93" s="34">
        <v>241.64</v>
      </c>
      <c r="D93" s="34">
        <v>241.68</v>
      </c>
      <c r="E93" s="34">
        <v>8.4</v>
      </c>
      <c r="F93" s="34">
        <v>12.6</v>
      </c>
      <c r="G93" s="34">
        <v>10.7</v>
      </c>
      <c r="H93" s="34">
        <v>1.87</v>
      </c>
      <c r="I93" s="34">
        <v>0</v>
      </c>
      <c r="J93" s="34">
        <v>1.92</v>
      </c>
      <c r="K93" s="34">
        <v>0.97399999999999998</v>
      </c>
      <c r="L93" s="34">
        <v>1</v>
      </c>
      <c r="M93" s="34">
        <v>2</v>
      </c>
      <c r="N93" s="34"/>
      <c r="O93" s="47">
        <f t="shared" si="1"/>
        <v>7.48</v>
      </c>
      <c r="Q93" s="73"/>
    </row>
    <row r="94" spans="1:17" x14ac:dyDescent="0.3">
      <c r="A94" s="45">
        <v>46177.947916666664</v>
      </c>
      <c r="B94" s="30">
        <v>240.25</v>
      </c>
      <c r="C94" s="30">
        <v>240.74</v>
      </c>
      <c r="D94" s="30">
        <v>240.82</v>
      </c>
      <c r="E94" s="30">
        <v>9.1</v>
      </c>
      <c r="F94" s="30">
        <v>11.4</v>
      </c>
      <c r="G94" s="50">
        <v>0.45833333333333331</v>
      </c>
      <c r="H94" s="30">
        <v>1.86</v>
      </c>
      <c r="I94" s="30">
        <v>0</v>
      </c>
      <c r="J94" s="30">
        <v>1.9</v>
      </c>
      <c r="K94" s="30">
        <v>0.97899999999999998</v>
      </c>
      <c r="L94" s="30">
        <v>1</v>
      </c>
      <c r="M94" s="30">
        <v>2</v>
      </c>
      <c r="N94" s="30"/>
      <c r="O94" s="43">
        <f t="shared" si="1"/>
        <v>7.44</v>
      </c>
      <c r="Q94" s="73"/>
    </row>
    <row r="95" spans="1:17" x14ac:dyDescent="0.3">
      <c r="A95" s="46">
        <v>46177.958333333336</v>
      </c>
      <c r="B95" s="34">
        <v>240.43</v>
      </c>
      <c r="C95" s="34">
        <v>240.89</v>
      </c>
      <c r="D95" s="34">
        <v>240.98</v>
      </c>
      <c r="E95" s="34">
        <v>11.5</v>
      </c>
      <c r="F95" s="34">
        <v>11.3</v>
      </c>
      <c r="G95" s="34">
        <v>11.5</v>
      </c>
      <c r="H95" s="34">
        <v>2.0299999999999998</v>
      </c>
      <c r="I95" s="34">
        <v>0</v>
      </c>
      <c r="J95" s="34">
        <v>2.0699999999999998</v>
      </c>
      <c r="K95" s="34">
        <v>0.98099999999999998</v>
      </c>
      <c r="L95" s="34">
        <v>1</v>
      </c>
      <c r="M95" s="34">
        <v>2</v>
      </c>
      <c r="N95" s="34"/>
      <c r="O95" s="47">
        <f t="shared" si="1"/>
        <v>8.1199999999999992</v>
      </c>
      <c r="Q95" s="73"/>
    </row>
    <row r="96" spans="1:17" x14ac:dyDescent="0.3">
      <c r="A96" s="45">
        <v>46177.96875</v>
      </c>
      <c r="B96" s="30">
        <v>241.2</v>
      </c>
      <c r="C96" s="30">
        <v>241.6</v>
      </c>
      <c r="D96" s="30">
        <v>241.74</v>
      </c>
      <c r="E96" s="30">
        <v>10.7</v>
      </c>
      <c r="F96" s="30">
        <v>10.9</v>
      </c>
      <c r="G96" s="30">
        <v>11.4</v>
      </c>
      <c r="H96" s="30">
        <v>1.96</v>
      </c>
      <c r="I96" s="30">
        <v>0</v>
      </c>
      <c r="J96" s="30">
        <v>2</v>
      </c>
      <c r="K96" s="30">
        <v>0.98</v>
      </c>
      <c r="L96" s="30">
        <v>1</v>
      </c>
      <c r="M96" s="30">
        <v>2</v>
      </c>
      <c r="N96" s="30"/>
      <c r="O96" s="43">
        <f t="shared" si="1"/>
        <v>7.84</v>
      </c>
      <c r="Q96" s="73"/>
    </row>
    <row r="97" spans="1:17" x14ac:dyDescent="0.3">
      <c r="A97" s="46">
        <v>46177.979166666664</v>
      </c>
      <c r="B97" s="34">
        <v>239.97</v>
      </c>
      <c r="C97" s="34">
        <v>240.21</v>
      </c>
      <c r="D97" s="34">
        <v>240.45</v>
      </c>
      <c r="E97" s="34">
        <v>8.9</v>
      </c>
      <c r="F97" s="34">
        <v>14.5</v>
      </c>
      <c r="G97" s="34">
        <v>11.8</v>
      </c>
      <c r="H97" s="34">
        <v>2.09</v>
      </c>
      <c r="I97" s="34">
        <v>0</v>
      </c>
      <c r="J97" s="34">
        <v>2.13</v>
      </c>
      <c r="K97" s="34">
        <v>0.98099999999999998</v>
      </c>
      <c r="L97" s="34">
        <v>1</v>
      </c>
      <c r="M97" s="34">
        <v>2</v>
      </c>
      <c r="N97" s="34"/>
      <c r="O97" s="47">
        <f t="shared" si="1"/>
        <v>8.36</v>
      </c>
      <c r="Q97" s="73"/>
    </row>
    <row r="98" spans="1:17" x14ac:dyDescent="0.3">
      <c r="A98" s="45">
        <v>46177.989583333336</v>
      </c>
      <c r="B98" s="30">
        <v>241.04</v>
      </c>
      <c r="C98" s="30">
        <v>241.25</v>
      </c>
      <c r="D98" s="30">
        <v>241.46</v>
      </c>
      <c r="E98" s="30">
        <v>8.8000000000000007</v>
      </c>
      <c r="F98" s="30">
        <v>13.4</v>
      </c>
      <c r="G98" s="30">
        <v>11.2</v>
      </c>
      <c r="H98" s="30">
        <v>1.99</v>
      </c>
      <c r="I98" s="30">
        <v>0</v>
      </c>
      <c r="J98" s="30">
        <v>2.02</v>
      </c>
      <c r="K98" s="30">
        <v>0.98499999999999999</v>
      </c>
      <c r="L98" s="30">
        <v>1</v>
      </c>
      <c r="M98" s="30">
        <v>2</v>
      </c>
      <c r="N98" s="30"/>
      <c r="O98" s="43">
        <f t="shared" si="1"/>
        <v>7.96</v>
      </c>
      <c r="Q98" s="73"/>
    </row>
    <row r="99" spans="1:17" x14ac:dyDescent="0.3">
      <c r="A99" s="65"/>
      <c r="B99" s="66"/>
      <c r="C99" s="65"/>
      <c r="D99" s="65"/>
      <c r="E99" s="67"/>
      <c r="F99" s="68"/>
      <c r="G99" s="65"/>
      <c r="H99" s="69"/>
      <c r="I99" s="70"/>
    </row>
    <row r="100" spans="1:17" x14ac:dyDescent="0.3">
      <c r="A100" s="65"/>
      <c r="B100" s="66"/>
      <c r="C100" s="65"/>
      <c r="D100" s="65"/>
      <c r="E100" s="67"/>
      <c r="F100" s="68"/>
      <c r="G100" s="65"/>
      <c r="H100" s="69"/>
      <c r="I100" s="70"/>
    </row>
    <row r="101" spans="1:17" x14ac:dyDescent="0.3">
      <c r="A101" s="71"/>
      <c r="B101" s="71"/>
      <c r="C101" s="71"/>
      <c r="D101" s="71"/>
      <c r="E101" s="71"/>
      <c r="F101" s="71"/>
      <c r="G101" s="71"/>
      <c r="H101" s="71"/>
      <c r="I101" s="71"/>
    </row>
    <row r="102" spans="1:17" x14ac:dyDescent="0.3">
      <c r="A102" s="71"/>
      <c r="B102" s="71"/>
      <c r="C102" s="71"/>
      <c r="D102" s="71"/>
      <c r="E102" s="71"/>
      <c r="F102" s="71"/>
      <c r="G102" s="71"/>
      <c r="H102" s="71"/>
      <c r="I102" s="71"/>
    </row>
    <row r="103" spans="1:17" x14ac:dyDescent="0.3">
      <c r="A103" s="71"/>
      <c r="B103" s="71"/>
      <c r="C103" s="71"/>
      <c r="D103" s="71"/>
      <c r="E103" s="71"/>
      <c r="F103" s="71"/>
      <c r="G103" s="71"/>
      <c r="H103" s="71"/>
      <c r="I103" s="71"/>
    </row>
    <row r="104" spans="1:17" x14ac:dyDescent="0.3">
      <c r="A104" s="71"/>
      <c r="B104" s="71"/>
      <c r="C104" s="71"/>
      <c r="D104" s="71"/>
      <c r="E104" s="71"/>
      <c r="F104" s="71"/>
      <c r="G104" s="71"/>
      <c r="H104" s="71"/>
      <c r="I104" s="71"/>
    </row>
    <row r="105" spans="1:17" x14ac:dyDescent="0.3">
      <c r="A105" s="71"/>
      <c r="B105" s="71"/>
      <c r="C105" s="71"/>
      <c r="D105" s="71"/>
      <c r="E105" s="71"/>
      <c r="F105" s="71"/>
      <c r="G105" s="71"/>
      <c r="H105" s="71"/>
      <c r="I105" s="71"/>
    </row>
    <row r="106" spans="1:17" x14ac:dyDescent="0.3">
      <c r="A106" s="71"/>
      <c r="B106" s="71"/>
      <c r="C106" s="71"/>
      <c r="D106" s="71"/>
      <c r="E106" s="71"/>
      <c r="F106" s="71"/>
      <c r="G106" s="71"/>
      <c r="H106" s="71"/>
      <c r="I106" s="71"/>
    </row>
    <row r="107" spans="1:17" x14ac:dyDescent="0.3">
      <c r="A107" s="71"/>
      <c r="B107" s="71"/>
      <c r="C107" s="71"/>
      <c r="D107" s="71"/>
      <c r="E107" s="71"/>
      <c r="F107" s="71"/>
      <c r="G107" s="71"/>
      <c r="H107" s="71"/>
      <c r="I107" s="71"/>
    </row>
    <row r="108" spans="1:17" x14ac:dyDescent="0.3">
      <c r="A108" s="71"/>
      <c r="B108" s="71"/>
      <c r="C108" s="71"/>
      <c r="D108" s="71"/>
      <c r="E108" s="71"/>
      <c r="F108" s="71"/>
      <c r="G108" s="71"/>
      <c r="H108" s="71"/>
      <c r="I108" s="71"/>
    </row>
    <row r="109" spans="1:17" x14ac:dyDescent="0.3">
      <c r="A109" s="71"/>
      <c r="B109" s="71"/>
      <c r="C109" s="71"/>
      <c r="D109" s="71"/>
      <c r="E109" s="71"/>
      <c r="F109" s="71"/>
      <c r="G109" s="71"/>
      <c r="H109" s="71"/>
      <c r="I109" s="71"/>
    </row>
    <row r="110" spans="1:17" x14ac:dyDescent="0.3">
      <c r="A110" s="71"/>
      <c r="B110" s="71"/>
      <c r="C110" s="71"/>
      <c r="D110" s="71"/>
      <c r="E110" s="71"/>
      <c r="F110" s="71"/>
      <c r="G110" s="71"/>
      <c r="H110" s="71"/>
      <c r="I110" s="71"/>
    </row>
    <row r="111" spans="1:17" x14ac:dyDescent="0.3">
      <c r="A111" s="71"/>
      <c r="B111" s="71"/>
      <c r="C111" s="71"/>
      <c r="D111" s="71"/>
      <c r="E111" s="71"/>
      <c r="F111" s="71"/>
      <c r="G111" s="71"/>
      <c r="H111" s="71"/>
      <c r="I111" s="71"/>
    </row>
    <row r="112" spans="1:17" x14ac:dyDescent="0.3">
      <c r="A112" s="71"/>
      <c r="B112" s="71"/>
      <c r="C112" s="71"/>
      <c r="D112" s="71"/>
      <c r="E112" s="71"/>
      <c r="F112" s="71"/>
      <c r="G112" s="71"/>
      <c r="H112" s="71"/>
      <c r="I112" s="71"/>
    </row>
    <row r="113" spans="1:9" x14ac:dyDescent="0.3">
      <c r="A113" s="71"/>
      <c r="B113" s="71"/>
      <c r="C113" s="71"/>
      <c r="D113" s="71"/>
      <c r="E113" s="71"/>
      <c r="F113" s="71"/>
      <c r="G113" s="71"/>
      <c r="H113" s="71"/>
      <c r="I113" s="71"/>
    </row>
    <row r="114" spans="1:9" x14ac:dyDescent="0.3">
      <c r="A114" s="71"/>
      <c r="B114" s="71"/>
      <c r="C114" s="71"/>
      <c r="D114" s="71"/>
      <c r="E114" s="71"/>
      <c r="F114" s="71"/>
      <c r="G114" s="71"/>
      <c r="H114" s="71"/>
      <c r="I114" s="71"/>
    </row>
    <row r="115" spans="1:9" x14ac:dyDescent="0.3">
      <c r="A115" s="71"/>
      <c r="B115" s="71"/>
      <c r="C115" s="71"/>
      <c r="D115" s="71"/>
      <c r="E115" s="71"/>
      <c r="F115" s="71"/>
      <c r="G115" s="71"/>
      <c r="H115" s="71"/>
      <c r="I115" s="71"/>
    </row>
    <row r="116" spans="1:9" x14ac:dyDescent="0.3">
      <c r="A116" s="71"/>
      <c r="B116" s="71"/>
      <c r="C116" s="71"/>
      <c r="D116" s="71"/>
      <c r="E116" s="71"/>
      <c r="F116" s="71"/>
      <c r="G116" s="71"/>
      <c r="H116" s="71"/>
      <c r="I116" s="71"/>
    </row>
    <row r="117" spans="1:9" x14ac:dyDescent="0.3">
      <c r="A117" s="71"/>
      <c r="B117" s="71"/>
      <c r="C117" s="71"/>
      <c r="D117" s="71"/>
      <c r="E117" s="71"/>
      <c r="F117" s="71"/>
      <c r="G117" s="71"/>
      <c r="H117" s="71"/>
      <c r="I117" s="71"/>
    </row>
    <row r="118" spans="1:9" x14ac:dyDescent="0.3">
      <c r="A118" s="71"/>
      <c r="B118" s="71"/>
      <c r="C118" s="71"/>
      <c r="D118" s="71"/>
      <c r="E118" s="71"/>
      <c r="F118" s="71"/>
      <c r="G118" s="71"/>
      <c r="H118" s="71"/>
      <c r="I118" s="71"/>
    </row>
    <row r="119" spans="1:9" x14ac:dyDescent="0.3">
      <c r="A119" s="71"/>
      <c r="B119" s="71"/>
      <c r="C119" s="71"/>
      <c r="D119" s="71"/>
      <c r="E119" s="71"/>
      <c r="F119" s="71"/>
      <c r="G119" s="71"/>
      <c r="H119" s="71"/>
      <c r="I119" s="71"/>
    </row>
    <row r="120" spans="1:9" x14ac:dyDescent="0.3">
      <c r="A120" s="71"/>
      <c r="B120" s="71"/>
      <c r="C120" s="71"/>
      <c r="D120" s="71"/>
      <c r="E120" s="71"/>
      <c r="F120" s="71"/>
      <c r="G120" s="71"/>
      <c r="H120" s="71"/>
      <c r="I120" s="71"/>
    </row>
    <row r="121" spans="1:9" x14ac:dyDescent="0.3">
      <c r="A121" s="71"/>
      <c r="B121" s="71"/>
      <c r="C121" s="71"/>
      <c r="D121" s="71"/>
      <c r="E121" s="71"/>
      <c r="F121" s="71"/>
      <c r="G121" s="71"/>
      <c r="H121" s="71"/>
      <c r="I121" s="71"/>
    </row>
    <row r="122" spans="1:9" x14ac:dyDescent="0.3">
      <c r="A122" s="71"/>
      <c r="B122" s="71"/>
      <c r="C122" s="71"/>
      <c r="D122" s="71"/>
      <c r="E122" s="71"/>
      <c r="F122" s="71"/>
      <c r="G122" s="71"/>
      <c r="H122" s="71"/>
      <c r="I122" s="71"/>
    </row>
    <row r="123" spans="1:9" x14ac:dyDescent="0.3">
      <c r="A123" s="71"/>
      <c r="B123" s="71"/>
      <c r="C123" s="71"/>
      <c r="D123" s="71"/>
      <c r="E123" s="71"/>
      <c r="F123" s="71"/>
      <c r="G123" s="71"/>
      <c r="H123" s="71"/>
      <c r="I123" s="71"/>
    </row>
    <row r="124" spans="1:9" x14ac:dyDescent="0.3">
      <c r="A124" s="71"/>
      <c r="B124" s="71"/>
      <c r="C124" s="71"/>
      <c r="D124" s="71"/>
      <c r="E124" s="71"/>
      <c r="F124" s="71"/>
      <c r="G124" s="71"/>
      <c r="H124" s="71"/>
      <c r="I124" s="71"/>
    </row>
    <row r="125" spans="1:9" x14ac:dyDescent="0.3">
      <c r="A125" s="71"/>
      <c r="B125" s="71"/>
      <c r="C125" s="71"/>
      <c r="D125" s="71"/>
      <c r="E125" s="71"/>
      <c r="F125" s="71"/>
      <c r="G125" s="71"/>
      <c r="H125" s="71"/>
      <c r="I125" s="71"/>
    </row>
    <row r="126" spans="1:9" x14ac:dyDescent="0.3">
      <c r="A126" s="71"/>
      <c r="B126" s="71"/>
      <c r="C126" s="71"/>
      <c r="D126" s="71"/>
      <c r="E126" s="71"/>
      <c r="F126" s="71"/>
      <c r="G126" s="71"/>
      <c r="H126" s="71"/>
      <c r="I126" s="71"/>
    </row>
    <row r="127" spans="1:9" x14ac:dyDescent="0.3">
      <c r="A127" s="71"/>
      <c r="B127" s="71"/>
      <c r="C127" s="71"/>
      <c r="D127" s="71"/>
      <c r="E127" s="71"/>
      <c r="F127" s="71"/>
      <c r="G127" s="71"/>
      <c r="H127" s="71"/>
      <c r="I127" s="71"/>
    </row>
    <row r="128" spans="1:9" x14ac:dyDescent="0.3">
      <c r="A128" s="71"/>
      <c r="B128" s="71"/>
      <c r="C128" s="71"/>
      <c r="D128" s="71"/>
      <c r="E128" s="71"/>
      <c r="F128" s="71"/>
      <c r="G128" s="71"/>
      <c r="H128" s="71"/>
      <c r="I128" s="71"/>
    </row>
    <row r="129" spans="1:9" x14ac:dyDescent="0.3">
      <c r="A129" s="71"/>
      <c r="B129" s="71"/>
      <c r="C129" s="71"/>
      <c r="D129" s="71"/>
      <c r="E129" s="71"/>
      <c r="F129" s="71"/>
      <c r="G129" s="71"/>
      <c r="H129" s="71"/>
      <c r="I129" s="71"/>
    </row>
    <row r="130" spans="1:9" x14ac:dyDescent="0.3">
      <c r="A130" s="71"/>
      <c r="B130" s="71"/>
      <c r="C130" s="71"/>
      <c r="D130" s="71"/>
      <c r="E130" s="71"/>
      <c r="F130" s="71"/>
      <c r="G130" s="71"/>
      <c r="H130" s="71"/>
      <c r="I130" s="71"/>
    </row>
    <row r="131" spans="1:9" x14ac:dyDescent="0.3">
      <c r="A131" s="71"/>
      <c r="B131" s="71"/>
      <c r="C131" s="71"/>
      <c r="D131" s="71"/>
      <c r="E131" s="71"/>
      <c r="F131" s="71"/>
      <c r="G131" s="71"/>
      <c r="H131" s="71"/>
      <c r="I131" s="71"/>
    </row>
    <row r="132" spans="1:9" x14ac:dyDescent="0.3">
      <c r="A132" s="71"/>
      <c r="B132" s="71"/>
      <c r="C132" s="71"/>
      <c r="D132" s="71"/>
      <c r="E132" s="71"/>
      <c r="F132" s="71"/>
      <c r="G132" s="71"/>
      <c r="H132" s="71"/>
      <c r="I132" s="71"/>
    </row>
    <row r="133" spans="1:9" x14ac:dyDescent="0.3">
      <c r="A133" s="71"/>
      <c r="B133" s="71"/>
      <c r="C133" s="71"/>
      <c r="D133" s="71"/>
      <c r="E133" s="71"/>
      <c r="F133" s="71"/>
      <c r="G133" s="71"/>
      <c r="H133" s="71"/>
      <c r="I133" s="71"/>
    </row>
    <row r="134" spans="1:9" x14ac:dyDescent="0.3">
      <c r="A134" s="71"/>
      <c r="B134" s="71"/>
      <c r="C134" s="71"/>
      <c r="D134" s="71"/>
      <c r="E134" s="71"/>
      <c r="F134" s="71"/>
      <c r="G134" s="71"/>
      <c r="H134" s="71"/>
      <c r="I134" s="71"/>
    </row>
    <row r="135" spans="1:9" x14ac:dyDescent="0.3">
      <c r="A135" s="71"/>
      <c r="B135" s="71"/>
      <c r="C135" s="71"/>
      <c r="D135" s="71"/>
      <c r="E135" s="71"/>
      <c r="F135" s="71"/>
      <c r="G135" s="71"/>
      <c r="H135" s="71"/>
      <c r="I135" s="71"/>
    </row>
    <row r="136" spans="1:9" x14ac:dyDescent="0.3">
      <c r="A136" s="71"/>
      <c r="B136" s="71"/>
      <c r="C136" s="71"/>
      <c r="D136" s="71"/>
      <c r="E136" s="71"/>
      <c r="F136" s="71"/>
      <c r="G136" s="71"/>
      <c r="H136" s="71"/>
      <c r="I136" s="71"/>
    </row>
    <row r="137" spans="1:9" x14ac:dyDescent="0.3">
      <c r="A137" s="71"/>
      <c r="B137" s="71"/>
      <c r="C137" s="71"/>
      <c r="D137" s="71"/>
      <c r="E137" s="71"/>
      <c r="F137" s="71"/>
      <c r="G137" s="71"/>
      <c r="H137" s="71"/>
      <c r="I137" s="71"/>
    </row>
    <row r="138" spans="1:9" x14ac:dyDescent="0.3">
      <c r="A138" s="71"/>
      <c r="B138" s="71"/>
      <c r="C138" s="71"/>
      <c r="D138" s="71"/>
      <c r="E138" s="71"/>
      <c r="F138" s="71"/>
      <c r="G138" s="71"/>
      <c r="H138" s="71"/>
      <c r="I138" s="71"/>
    </row>
    <row r="139" spans="1:9" x14ac:dyDescent="0.3">
      <c r="A139" s="71"/>
      <c r="B139" s="71"/>
      <c r="C139" s="71"/>
      <c r="D139" s="71"/>
      <c r="E139" s="71"/>
      <c r="F139" s="71"/>
      <c r="G139" s="71"/>
      <c r="H139" s="71"/>
      <c r="I139" s="71"/>
    </row>
    <row r="140" spans="1:9" x14ac:dyDescent="0.3">
      <c r="A140" s="71"/>
      <c r="B140" s="71"/>
      <c r="C140" s="71"/>
      <c r="D140" s="71"/>
      <c r="E140" s="71"/>
      <c r="F140" s="71"/>
      <c r="G140" s="71"/>
      <c r="H140" s="71"/>
      <c r="I140" s="71"/>
    </row>
    <row r="141" spans="1:9" x14ac:dyDescent="0.3">
      <c r="A141" s="71"/>
      <c r="B141" s="71"/>
      <c r="C141" s="71"/>
      <c r="D141" s="71"/>
      <c r="E141" s="71"/>
      <c r="F141" s="71"/>
      <c r="G141" s="71"/>
      <c r="H141" s="71"/>
      <c r="I141" s="71"/>
    </row>
    <row r="142" spans="1:9" x14ac:dyDescent="0.3">
      <c r="A142" s="71"/>
      <c r="B142" s="71"/>
      <c r="C142" s="71"/>
      <c r="D142" s="71"/>
      <c r="E142" s="71"/>
      <c r="F142" s="71"/>
      <c r="G142" s="71"/>
      <c r="H142" s="71"/>
      <c r="I142" s="71"/>
    </row>
    <row r="143" spans="1:9" x14ac:dyDescent="0.3">
      <c r="A143" s="71"/>
      <c r="B143" s="71"/>
      <c r="C143" s="71"/>
      <c r="D143" s="71"/>
      <c r="E143" s="71"/>
      <c r="F143" s="71"/>
      <c r="G143" s="71"/>
      <c r="H143" s="71"/>
      <c r="I143" s="71"/>
    </row>
    <row r="144" spans="1:9" x14ac:dyDescent="0.3">
      <c r="A144" s="71"/>
      <c r="B144" s="71"/>
      <c r="C144" s="71"/>
      <c r="D144" s="71"/>
      <c r="E144" s="71"/>
      <c r="F144" s="71"/>
      <c r="G144" s="71"/>
      <c r="H144" s="71"/>
      <c r="I144" s="71"/>
    </row>
    <row r="145" spans="1:9" x14ac:dyDescent="0.3">
      <c r="A145" s="71"/>
      <c r="B145" s="71"/>
      <c r="C145" s="71"/>
      <c r="D145" s="71"/>
      <c r="E145" s="71"/>
      <c r="F145" s="71"/>
      <c r="G145" s="71"/>
      <c r="H145" s="71"/>
      <c r="I145" s="71"/>
    </row>
    <row r="146" spans="1:9" x14ac:dyDescent="0.3">
      <c r="A146" s="71"/>
      <c r="B146" s="71"/>
      <c r="C146" s="71"/>
      <c r="D146" s="71"/>
      <c r="E146" s="71"/>
      <c r="F146" s="71"/>
      <c r="G146" s="71"/>
      <c r="H146" s="71"/>
      <c r="I146" s="71"/>
    </row>
    <row r="147" spans="1:9" x14ac:dyDescent="0.3">
      <c r="A147" s="71"/>
      <c r="B147" s="71"/>
      <c r="C147" s="71"/>
      <c r="D147" s="71"/>
      <c r="E147" s="71"/>
      <c r="F147" s="71"/>
      <c r="G147" s="71"/>
      <c r="H147" s="71"/>
      <c r="I147" s="71"/>
    </row>
    <row r="148" spans="1:9" x14ac:dyDescent="0.3">
      <c r="A148" s="71"/>
      <c r="B148" s="71"/>
      <c r="C148" s="71"/>
      <c r="D148" s="71"/>
      <c r="E148" s="71"/>
      <c r="F148" s="71"/>
      <c r="G148" s="71"/>
      <c r="H148" s="71"/>
      <c r="I148" s="71"/>
    </row>
    <row r="149" spans="1:9" x14ac:dyDescent="0.3">
      <c r="A149" s="71"/>
      <c r="B149" s="71"/>
      <c r="C149" s="71"/>
      <c r="D149" s="71"/>
      <c r="E149" s="71"/>
      <c r="F149" s="71"/>
      <c r="G149" s="71"/>
      <c r="H149" s="71"/>
      <c r="I149" s="71"/>
    </row>
    <row r="150" spans="1:9" x14ac:dyDescent="0.3">
      <c r="A150" s="71"/>
      <c r="B150" s="71"/>
      <c r="C150" s="71"/>
      <c r="D150" s="71"/>
      <c r="E150" s="71"/>
      <c r="F150" s="71"/>
      <c r="G150" s="71"/>
      <c r="H150" s="71"/>
      <c r="I150" s="71"/>
    </row>
    <row r="151" spans="1:9" x14ac:dyDescent="0.3">
      <c r="A151" s="71"/>
      <c r="B151" s="71"/>
      <c r="C151" s="71"/>
      <c r="D151" s="71"/>
      <c r="E151" s="71"/>
      <c r="F151" s="71"/>
      <c r="G151" s="71"/>
      <c r="H151" s="71"/>
      <c r="I151" s="71"/>
    </row>
    <row r="152" spans="1:9" x14ac:dyDescent="0.3">
      <c r="A152" s="71"/>
      <c r="B152" s="71"/>
      <c r="C152" s="71"/>
      <c r="D152" s="71"/>
      <c r="E152" s="71"/>
      <c r="F152" s="71"/>
      <c r="G152" s="71"/>
      <c r="H152" s="71"/>
      <c r="I152" s="71"/>
    </row>
    <row r="153" spans="1:9" x14ac:dyDescent="0.3">
      <c r="A153" s="71"/>
      <c r="B153" s="71"/>
      <c r="C153" s="71"/>
      <c r="D153" s="71"/>
      <c r="E153" s="71"/>
      <c r="F153" s="71"/>
      <c r="G153" s="71"/>
      <c r="H153" s="71"/>
      <c r="I153" s="71"/>
    </row>
    <row r="154" spans="1:9" x14ac:dyDescent="0.3">
      <c r="A154" s="71"/>
      <c r="B154" s="71"/>
      <c r="C154" s="71"/>
      <c r="D154" s="71"/>
      <c r="E154" s="71"/>
      <c r="F154" s="71"/>
      <c r="G154" s="71"/>
      <c r="H154" s="71"/>
      <c r="I154" s="71"/>
    </row>
    <row r="155" spans="1:9" x14ac:dyDescent="0.3">
      <c r="A155" s="71"/>
      <c r="B155" s="71"/>
      <c r="C155" s="71"/>
      <c r="D155" s="71"/>
      <c r="E155" s="71"/>
      <c r="F155" s="71"/>
      <c r="G155" s="71"/>
      <c r="H155" s="71"/>
      <c r="I155" s="71"/>
    </row>
    <row r="156" spans="1:9" x14ac:dyDescent="0.3">
      <c r="A156" s="71"/>
      <c r="B156" s="71"/>
      <c r="C156" s="71"/>
      <c r="D156" s="71"/>
      <c r="E156" s="71"/>
      <c r="F156" s="71"/>
      <c r="G156" s="71"/>
      <c r="H156" s="71"/>
      <c r="I156" s="71"/>
    </row>
    <row r="157" spans="1:9" x14ac:dyDescent="0.3">
      <c r="A157" s="71"/>
      <c r="B157" s="71"/>
      <c r="C157" s="71"/>
      <c r="D157" s="71"/>
      <c r="E157" s="71"/>
      <c r="F157" s="71"/>
      <c r="G157" s="71"/>
      <c r="H157" s="71"/>
      <c r="I157" s="71"/>
    </row>
    <row r="158" spans="1:9" x14ac:dyDescent="0.3">
      <c r="A158" s="71"/>
      <c r="B158" s="71"/>
      <c r="C158" s="71"/>
      <c r="D158" s="71"/>
      <c r="E158" s="71"/>
      <c r="F158" s="71"/>
      <c r="G158" s="71"/>
      <c r="H158" s="71"/>
      <c r="I158" s="71"/>
    </row>
    <row r="159" spans="1:9" x14ac:dyDescent="0.3">
      <c r="A159" s="71"/>
      <c r="B159" s="71"/>
      <c r="C159" s="71"/>
      <c r="D159" s="71"/>
      <c r="E159" s="71"/>
      <c r="F159" s="71"/>
      <c r="G159" s="71"/>
      <c r="H159" s="71"/>
      <c r="I159" s="71"/>
    </row>
    <row r="160" spans="1:9" x14ac:dyDescent="0.3">
      <c r="A160" s="71"/>
      <c r="B160" s="71"/>
      <c r="C160" s="71"/>
      <c r="D160" s="71"/>
      <c r="E160" s="71"/>
      <c r="F160" s="71"/>
      <c r="G160" s="71"/>
      <c r="H160" s="71"/>
      <c r="I160" s="71"/>
    </row>
    <row r="161" spans="1:9" x14ac:dyDescent="0.3">
      <c r="A161" s="71"/>
      <c r="B161" s="71"/>
      <c r="C161" s="71"/>
      <c r="D161" s="71"/>
      <c r="E161" s="71"/>
      <c r="F161" s="71"/>
      <c r="G161" s="71"/>
      <c r="H161" s="71"/>
      <c r="I161" s="71"/>
    </row>
    <row r="162" spans="1:9" x14ac:dyDescent="0.3">
      <c r="A162" s="71"/>
      <c r="B162" s="71"/>
      <c r="C162" s="71"/>
      <c r="D162" s="71"/>
      <c r="E162" s="71"/>
      <c r="F162" s="71"/>
      <c r="G162" s="71"/>
      <c r="H162" s="71"/>
      <c r="I162" s="71"/>
    </row>
    <row r="163" spans="1:9" x14ac:dyDescent="0.3">
      <c r="A163" s="71"/>
      <c r="B163" s="71"/>
      <c r="C163" s="71"/>
      <c r="D163" s="71"/>
      <c r="E163" s="71"/>
      <c r="F163" s="71"/>
      <c r="G163" s="71"/>
      <c r="H163" s="71"/>
      <c r="I163" s="71"/>
    </row>
    <row r="164" spans="1:9" x14ac:dyDescent="0.3">
      <c r="A164" s="71"/>
      <c r="B164" s="71"/>
      <c r="C164" s="71"/>
      <c r="D164" s="71"/>
      <c r="E164" s="71"/>
      <c r="F164" s="71"/>
      <c r="G164" s="71"/>
      <c r="H164" s="71"/>
      <c r="I164" s="71"/>
    </row>
    <row r="165" spans="1:9" x14ac:dyDescent="0.3">
      <c r="A165" s="71"/>
      <c r="B165" s="71"/>
      <c r="C165" s="71"/>
      <c r="D165" s="71"/>
      <c r="E165" s="71"/>
      <c r="F165" s="71"/>
      <c r="G165" s="71"/>
      <c r="H165" s="71"/>
      <c r="I165" s="71"/>
    </row>
    <row r="166" spans="1:9" x14ac:dyDescent="0.3">
      <c r="A166" s="71"/>
      <c r="B166" s="71"/>
      <c r="C166" s="71"/>
      <c r="D166" s="71"/>
      <c r="E166" s="71"/>
      <c r="F166" s="71"/>
      <c r="G166" s="71"/>
      <c r="H166" s="71"/>
      <c r="I166" s="71"/>
    </row>
    <row r="167" spans="1:9" x14ac:dyDescent="0.3">
      <c r="A167" s="71"/>
      <c r="B167" s="71"/>
      <c r="C167" s="71"/>
      <c r="D167" s="71"/>
      <c r="E167" s="71"/>
      <c r="F167" s="71"/>
      <c r="G167" s="71"/>
      <c r="H167" s="71"/>
      <c r="I167" s="71"/>
    </row>
    <row r="168" spans="1:9" x14ac:dyDescent="0.3">
      <c r="A168" s="71"/>
      <c r="B168" s="71"/>
      <c r="C168" s="71"/>
      <c r="D168" s="71"/>
      <c r="E168" s="71"/>
      <c r="F168" s="71"/>
      <c r="G168" s="71"/>
      <c r="H168" s="71"/>
      <c r="I168" s="71"/>
    </row>
    <row r="169" spans="1:9" x14ac:dyDescent="0.3">
      <c r="A169" s="71"/>
      <c r="B169" s="71"/>
      <c r="C169" s="71"/>
      <c r="D169" s="71"/>
      <c r="E169" s="71"/>
      <c r="F169" s="71"/>
      <c r="G169" s="71"/>
      <c r="H169" s="71"/>
      <c r="I169" s="71"/>
    </row>
    <row r="170" spans="1:9" x14ac:dyDescent="0.3">
      <c r="A170" s="71"/>
      <c r="B170" s="71"/>
      <c r="C170" s="71"/>
      <c r="D170" s="71"/>
      <c r="E170" s="71"/>
      <c r="F170" s="71"/>
      <c r="G170" s="71"/>
      <c r="H170" s="71"/>
      <c r="I170" s="71"/>
    </row>
    <row r="171" spans="1:9" x14ac:dyDescent="0.3">
      <c r="A171" s="71"/>
      <c r="B171" s="71"/>
      <c r="C171" s="71"/>
      <c r="D171" s="71"/>
      <c r="E171" s="71"/>
      <c r="F171" s="71"/>
      <c r="G171" s="71"/>
      <c r="H171" s="71"/>
      <c r="I171" s="71"/>
    </row>
    <row r="172" spans="1:9" x14ac:dyDescent="0.3">
      <c r="A172" s="71"/>
      <c r="B172" s="71"/>
      <c r="C172" s="71"/>
      <c r="D172" s="71"/>
      <c r="E172" s="71"/>
      <c r="F172" s="71"/>
      <c r="G172" s="71"/>
      <c r="H172" s="71"/>
      <c r="I172" s="71"/>
    </row>
    <row r="173" spans="1:9" x14ac:dyDescent="0.3">
      <c r="A173" s="71"/>
      <c r="B173" s="71"/>
      <c r="C173" s="71"/>
      <c r="D173" s="71"/>
      <c r="E173" s="71"/>
      <c r="F173" s="71"/>
      <c r="G173" s="71"/>
      <c r="H173" s="71"/>
      <c r="I173" s="71"/>
    </row>
    <row r="174" spans="1:9" x14ac:dyDescent="0.3">
      <c r="A174" s="71"/>
      <c r="B174" s="71"/>
      <c r="C174" s="71"/>
      <c r="D174" s="71"/>
      <c r="E174" s="71"/>
      <c r="F174" s="71"/>
      <c r="G174" s="71"/>
      <c r="H174" s="71"/>
      <c r="I174" s="71"/>
    </row>
    <row r="175" spans="1:9" x14ac:dyDescent="0.3">
      <c r="A175" s="71"/>
      <c r="B175" s="71"/>
      <c r="C175" s="71"/>
      <c r="D175" s="71"/>
      <c r="E175" s="71"/>
      <c r="F175" s="71"/>
      <c r="G175" s="71"/>
      <c r="H175" s="71"/>
      <c r="I175" s="71"/>
    </row>
    <row r="176" spans="1:9" x14ac:dyDescent="0.3">
      <c r="A176" s="71"/>
      <c r="B176" s="71"/>
      <c r="C176" s="71"/>
      <c r="D176" s="71"/>
      <c r="E176" s="71"/>
      <c r="F176" s="71"/>
      <c r="G176" s="71"/>
      <c r="H176" s="71"/>
      <c r="I176" s="71"/>
    </row>
    <row r="177" spans="1:9" x14ac:dyDescent="0.3">
      <c r="A177" s="71"/>
      <c r="B177" s="71"/>
      <c r="C177" s="71"/>
      <c r="D177" s="71"/>
      <c r="E177" s="71"/>
      <c r="F177" s="71"/>
      <c r="G177" s="71"/>
      <c r="H177" s="71"/>
      <c r="I177" s="71"/>
    </row>
    <row r="178" spans="1:9" x14ac:dyDescent="0.3">
      <c r="A178" s="71"/>
      <c r="B178" s="71"/>
      <c r="C178" s="71"/>
      <c r="D178" s="71"/>
      <c r="E178" s="71"/>
      <c r="F178" s="71"/>
      <c r="G178" s="71"/>
      <c r="H178" s="71"/>
      <c r="I178" s="71"/>
    </row>
    <row r="179" spans="1:9" x14ac:dyDescent="0.3">
      <c r="A179" s="71"/>
      <c r="B179" s="71"/>
      <c r="C179" s="71"/>
      <c r="D179" s="71"/>
      <c r="E179" s="71"/>
      <c r="F179" s="71"/>
      <c r="G179" s="71"/>
      <c r="H179" s="71"/>
      <c r="I179" s="71"/>
    </row>
    <row r="180" spans="1:9" x14ac:dyDescent="0.3">
      <c r="A180" s="71"/>
      <c r="B180" s="71"/>
      <c r="C180" s="71"/>
      <c r="D180" s="71"/>
      <c r="E180" s="71"/>
      <c r="F180" s="71"/>
      <c r="G180" s="71"/>
      <c r="H180" s="71"/>
      <c r="I180" s="71"/>
    </row>
    <row r="181" spans="1:9" x14ac:dyDescent="0.3">
      <c r="A181" s="71"/>
      <c r="B181" s="71"/>
      <c r="C181" s="71"/>
      <c r="D181" s="71"/>
      <c r="E181" s="71"/>
      <c r="F181" s="71"/>
      <c r="G181" s="71"/>
      <c r="H181" s="71"/>
      <c r="I181" s="71"/>
    </row>
    <row r="182" spans="1:9" x14ac:dyDescent="0.3">
      <c r="A182" s="71"/>
      <c r="B182" s="71"/>
      <c r="C182" s="71"/>
      <c r="D182" s="71"/>
      <c r="E182" s="71"/>
      <c r="F182" s="71"/>
      <c r="G182" s="71"/>
      <c r="H182" s="71"/>
      <c r="I182" s="71"/>
    </row>
    <row r="183" spans="1:9" x14ac:dyDescent="0.3">
      <c r="A183" s="71"/>
      <c r="B183" s="71"/>
      <c r="C183" s="71"/>
      <c r="D183" s="71"/>
      <c r="E183" s="71"/>
      <c r="F183" s="71"/>
      <c r="G183" s="71"/>
      <c r="H183" s="71"/>
      <c r="I183" s="71"/>
    </row>
    <row r="184" spans="1:9" x14ac:dyDescent="0.3">
      <c r="A184" s="71"/>
      <c r="B184" s="71"/>
      <c r="C184" s="71"/>
      <c r="D184" s="71"/>
      <c r="E184" s="71"/>
      <c r="F184" s="71"/>
      <c r="G184" s="71"/>
      <c r="H184" s="71"/>
      <c r="I184" s="71"/>
    </row>
    <row r="185" spans="1:9" x14ac:dyDescent="0.3">
      <c r="A185" s="71"/>
      <c r="B185" s="71"/>
      <c r="C185" s="71"/>
      <c r="D185" s="71"/>
      <c r="E185" s="71"/>
      <c r="F185" s="71"/>
      <c r="G185" s="71"/>
      <c r="H185" s="71"/>
      <c r="I185" s="71"/>
    </row>
    <row r="186" spans="1:9" x14ac:dyDescent="0.3">
      <c r="A186" s="71"/>
      <c r="B186" s="71"/>
      <c r="C186" s="71"/>
      <c r="D186" s="71"/>
      <c r="E186" s="71"/>
      <c r="F186" s="71"/>
      <c r="G186" s="71"/>
      <c r="H186" s="71"/>
      <c r="I186" s="71"/>
    </row>
    <row r="187" spans="1:9" x14ac:dyDescent="0.3">
      <c r="A187" s="71"/>
      <c r="B187" s="71"/>
      <c r="C187" s="71"/>
      <c r="D187" s="71"/>
      <c r="E187" s="71"/>
      <c r="F187" s="71"/>
      <c r="G187" s="71"/>
      <c r="H187" s="71"/>
      <c r="I187" s="71"/>
    </row>
    <row r="188" spans="1:9" x14ac:dyDescent="0.3">
      <c r="A188" s="71"/>
      <c r="B188" s="71"/>
      <c r="C188" s="71"/>
      <c r="D188" s="71"/>
      <c r="E188" s="71"/>
      <c r="F188" s="71"/>
      <c r="G188" s="71"/>
      <c r="H188" s="71"/>
      <c r="I188" s="71"/>
    </row>
    <row r="189" spans="1:9" x14ac:dyDescent="0.3">
      <c r="A189" s="71"/>
      <c r="B189" s="71"/>
      <c r="C189" s="71"/>
      <c r="D189" s="71"/>
      <c r="E189" s="71"/>
      <c r="F189" s="71"/>
      <c r="G189" s="71"/>
      <c r="H189" s="71"/>
      <c r="I189" s="71"/>
    </row>
    <row r="190" spans="1:9" x14ac:dyDescent="0.3">
      <c r="A190" s="71"/>
      <c r="B190" s="71"/>
      <c r="C190" s="71"/>
      <c r="D190" s="71"/>
      <c r="E190" s="71"/>
      <c r="F190" s="71"/>
      <c r="G190" s="71"/>
      <c r="H190" s="71"/>
      <c r="I190" s="71"/>
    </row>
    <row r="191" spans="1:9" x14ac:dyDescent="0.3">
      <c r="A191" s="71"/>
      <c r="B191" s="71"/>
      <c r="C191" s="71"/>
      <c r="D191" s="71"/>
      <c r="E191" s="71"/>
      <c r="F191" s="71"/>
      <c r="G191" s="71"/>
      <c r="H191" s="71"/>
      <c r="I191" s="7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52C4E-E22A-4B40-996A-91D762E355C7}">
  <dimension ref="A1:C98"/>
  <sheetViews>
    <sheetView workbookViewId="0">
      <selection activeCell="A3" sqref="A3:C98"/>
    </sheetView>
  </sheetViews>
  <sheetFormatPr defaultRowHeight="14.4" x14ac:dyDescent="0.3"/>
  <cols>
    <col min="1" max="1" width="17.88671875" customWidth="1"/>
  </cols>
  <sheetData>
    <row r="1" spans="1:3" x14ac:dyDescent="0.3">
      <c r="A1" s="5"/>
      <c r="B1" s="5"/>
    </row>
    <row r="3" spans="1:3" x14ac:dyDescent="0.3">
      <c r="A3" s="30" t="s">
        <v>159</v>
      </c>
      <c r="B3" s="30" t="s">
        <v>186</v>
      </c>
      <c r="C3" s="72" t="s">
        <v>167</v>
      </c>
    </row>
    <row r="4" spans="1:3" x14ac:dyDescent="0.3">
      <c r="A4" s="45">
        <v>46177.010416666664</v>
      </c>
      <c r="B4" s="30">
        <v>0.97299999999999998</v>
      </c>
      <c r="C4">
        <v>3.56</v>
      </c>
    </row>
    <row r="5" spans="1:3" x14ac:dyDescent="0.3">
      <c r="A5" s="46">
        <v>46177.020833333336</v>
      </c>
      <c r="B5" s="34">
        <v>0.97799999999999998</v>
      </c>
      <c r="C5">
        <v>5.52</v>
      </c>
    </row>
    <row r="6" spans="1:3" x14ac:dyDescent="0.3">
      <c r="A6" s="45">
        <v>46177.03125</v>
      </c>
      <c r="B6" s="30">
        <v>0.98399999999999999</v>
      </c>
      <c r="C6">
        <v>3.62</v>
      </c>
    </row>
    <row r="7" spans="1:3" x14ac:dyDescent="0.3">
      <c r="A7" s="46">
        <v>46177.041666666664</v>
      </c>
      <c r="B7" s="34">
        <v>0.97699999999999998</v>
      </c>
      <c r="C7">
        <v>3.46</v>
      </c>
    </row>
    <row r="8" spans="1:3" x14ac:dyDescent="0.3">
      <c r="A8" s="45">
        <v>46177.052083333336</v>
      </c>
      <c r="B8" s="30">
        <v>0.98399999999999999</v>
      </c>
      <c r="C8">
        <v>3.64</v>
      </c>
    </row>
    <row r="9" spans="1:3" x14ac:dyDescent="0.3">
      <c r="A9" s="46">
        <v>46177.0625</v>
      </c>
      <c r="B9" s="34">
        <v>0.98</v>
      </c>
      <c r="C9">
        <v>3</v>
      </c>
    </row>
    <row r="10" spans="1:3" x14ac:dyDescent="0.3">
      <c r="A10" s="45">
        <v>46177.072916666664</v>
      </c>
      <c r="B10" s="30">
        <v>0.97199999999999998</v>
      </c>
      <c r="C10">
        <v>2.82</v>
      </c>
    </row>
    <row r="11" spans="1:3" x14ac:dyDescent="0.3">
      <c r="A11" s="46">
        <v>46177.083333333336</v>
      </c>
      <c r="B11" s="34">
        <v>0.98099999999999998</v>
      </c>
      <c r="C11">
        <v>3.02</v>
      </c>
    </row>
    <row r="12" spans="1:3" x14ac:dyDescent="0.3">
      <c r="A12" s="45">
        <v>46177.09375</v>
      </c>
      <c r="B12" s="30">
        <v>0.98</v>
      </c>
      <c r="C12">
        <v>2.98</v>
      </c>
    </row>
    <row r="13" spans="1:3" x14ac:dyDescent="0.3">
      <c r="A13" s="46">
        <v>46177.104166666664</v>
      </c>
      <c r="B13" s="34">
        <v>0.97899999999999998</v>
      </c>
      <c r="C13">
        <v>2.74</v>
      </c>
    </row>
    <row r="14" spans="1:3" x14ac:dyDescent="0.3">
      <c r="A14" s="45">
        <v>46177.114583333336</v>
      </c>
      <c r="B14" s="30">
        <v>0.98099999999999998</v>
      </c>
      <c r="C14">
        <v>3.04</v>
      </c>
    </row>
    <row r="15" spans="1:3" x14ac:dyDescent="0.3">
      <c r="A15" s="46">
        <v>46177.125</v>
      </c>
      <c r="B15" s="34">
        <v>0.97699999999999998</v>
      </c>
      <c r="C15">
        <v>2.56</v>
      </c>
    </row>
    <row r="16" spans="1:3" x14ac:dyDescent="0.3">
      <c r="A16" s="45">
        <v>46177.135416666664</v>
      </c>
      <c r="B16" s="30">
        <v>0.97599999999999998</v>
      </c>
      <c r="C16">
        <v>2.44</v>
      </c>
    </row>
    <row r="17" spans="1:3" x14ac:dyDescent="0.3">
      <c r="A17" s="46">
        <v>46177.145833333336</v>
      </c>
      <c r="B17" s="34">
        <v>0.98399999999999999</v>
      </c>
      <c r="C17">
        <v>2.42</v>
      </c>
    </row>
    <row r="18" spans="1:3" x14ac:dyDescent="0.3">
      <c r="A18" s="45">
        <v>46177.15625</v>
      </c>
      <c r="B18" s="30">
        <v>0.98399999999999999</v>
      </c>
      <c r="C18">
        <v>2.5</v>
      </c>
    </row>
    <row r="19" spans="1:3" x14ac:dyDescent="0.3">
      <c r="A19" s="46">
        <v>46177.166666666664</v>
      </c>
      <c r="B19" s="34">
        <v>0.98399999999999999</v>
      </c>
      <c r="C19">
        <v>2.42</v>
      </c>
    </row>
    <row r="20" spans="1:3" x14ac:dyDescent="0.3">
      <c r="A20" s="45">
        <v>46177.177083333336</v>
      </c>
      <c r="B20" s="30">
        <v>0.98399999999999999</v>
      </c>
      <c r="C20">
        <v>2.44</v>
      </c>
    </row>
    <row r="21" spans="1:3" x14ac:dyDescent="0.3">
      <c r="A21" s="46">
        <v>46177.1875</v>
      </c>
      <c r="B21" s="34">
        <v>0.98499999999999999</v>
      </c>
      <c r="C21">
        <v>2.66</v>
      </c>
    </row>
    <row r="22" spans="1:3" x14ac:dyDescent="0.3">
      <c r="A22" s="45">
        <v>46177.197916666664</v>
      </c>
      <c r="B22" s="30">
        <v>0.98299999999999998</v>
      </c>
      <c r="C22">
        <v>2.36</v>
      </c>
    </row>
    <row r="23" spans="1:3" x14ac:dyDescent="0.3">
      <c r="A23" s="46">
        <v>46177.208333333336</v>
      </c>
      <c r="B23" s="34">
        <v>0.97399999999999998</v>
      </c>
      <c r="C23">
        <v>2.2799999999999998</v>
      </c>
    </row>
    <row r="24" spans="1:3" x14ac:dyDescent="0.3">
      <c r="A24" s="45">
        <v>46177.21875</v>
      </c>
      <c r="B24" s="30">
        <v>0.98299999999999998</v>
      </c>
      <c r="C24">
        <v>2.2999999999999998</v>
      </c>
    </row>
    <row r="25" spans="1:3" x14ac:dyDescent="0.3">
      <c r="A25" s="46">
        <v>46177.229166666664</v>
      </c>
      <c r="B25" s="34">
        <v>0.97499999999999998</v>
      </c>
      <c r="C25">
        <v>2.2999999999999998</v>
      </c>
    </row>
    <row r="26" spans="1:3" x14ac:dyDescent="0.3">
      <c r="A26" s="45">
        <v>46177.239583333336</v>
      </c>
      <c r="B26" s="30">
        <v>0.97399999999999998</v>
      </c>
      <c r="C26">
        <v>2.23</v>
      </c>
    </row>
    <row r="27" spans="1:3" x14ac:dyDescent="0.3">
      <c r="A27" s="46">
        <v>46177.25</v>
      </c>
      <c r="B27" s="34">
        <v>0.97299999999999998</v>
      </c>
      <c r="C27">
        <v>2.2000000000000002</v>
      </c>
    </row>
    <row r="28" spans="1:3" x14ac:dyDescent="0.3">
      <c r="A28" s="45">
        <v>46177.260416666664</v>
      </c>
      <c r="B28" s="30">
        <v>0.97399999999999998</v>
      </c>
      <c r="C28">
        <v>2.2400000000000002</v>
      </c>
    </row>
    <row r="29" spans="1:3" x14ac:dyDescent="0.3">
      <c r="A29" s="46">
        <v>46177.270833333336</v>
      </c>
      <c r="B29" s="34">
        <v>0.97499999999999998</v>
      </c>
      <c r="C29">
        <v>2.34</v>
      </c>
    </row>
    <row r="30" spans="1:3" x14ac:dyDescent="0.3">
      <c r="A30" s="45">
        <v>46177.28125</v>
      </c>
      <c r="B30" s="30">
        <v>0.97599999999999998</v>
      </c>
      <c r="C30">
        <v>2.48</v>
      </c>
    </row>
    <row r="31" spans="1:3" x14ac:dyDescent="0.3">
      <c r="A31" s="46">
        <v>46177.291666666664</v>
      </c>
      <c r="B31" s="34">
        <v>0.97799999999999998</v>
      </c>
      <c r="C31">
        <v>2.68</v>
      </c>
    </row>
    <row r="32" spans="1:3" x14ac:dyDescent="0.3">
      <c r="A32" s="45">
        <v>46177.302083333336</v>
      </c>
      <c r="B32" s="30">
        <v>0.98599999999999999</v>
      </c>
      <c r="C32">
        <v>2.86</v>
      </c>
    </row>
    <row r="33" spans="1:3" x14ac:dyDescent="0.3">
      <c r="A33" s="46">
        <v>46177.3125</v>
      </c>
      <c r="B33" s="34">
        <v>0.98799999999999999</v>
      </c>
      <c r="C33">
        <v>3.2</v>
      </c>
    </row>
    <row r="34" spans="1:3" x14ac:dyDescent="0.3">
      <c r="A34" s="45">
        <v>46177.322916666664</v>
      </c>
      <c r="B34" s="30">
        <v>0.99399999999999999</v>
      </c>
      <c r="C34">
        <v>3.24</v>
      </c>
    </row>
    <row r="35" spans="1:3" x14ac:dyDescent="0.3">
      <c r="A35" s="46">
        <v>46177.333333333336</v>
      </c>
      <c r="B35" s="34">
        <v>0.99399999999999999</v>
      </c>
      <c r="C35">
        <v>3.5</v>
      </c>
    </row>
    <row r="36" spans="1:3" x14ac:dyDescent="0.3">
      <c r="A36" s="45">
        <v>46177.34375</v>
      </c>
      <c r="B36" s="30">
        <v>0.995</v>
      </c>
      <c r="C36">
        <v>3.86</v>
      </c>
    </row>
    <row r="37" spans="1:3" x14ac:dyDescent="0.3">
      <c r="A37" s="46">
        <v>46177.354166666664</v>
      </c>
      <c r="B37" s="34">
        <v>0.98599999999999999</v>
      </c>
      <c r="C37">
        <v>2.8</v>
      </c>
    </row>
    <row r="38" spans="1:3" x14ac:dyDescent="0.3">
      <c r="A38" s="45">
        <v>46177.364583333336</v>
      </c>
      <c r="B38" s="30">
        <v>0.97799999999999998</v>
      </c>
      <c r="C38">
        <v>1.76</v>
      </c>
    </row>
    <row r="39" spans="1:3" x14ac:dyDescent="0.3">
      <c r="A39" s="46">
        <v>46177.375</v>
      </c>
      <c r="B39" s="34">
        <v>0.98799999999999999</v>
      </c>
      <c r="C39">
        <v>1.68</v>
      </c>
    </row>
    <row r="40" spans="1:3" x14ac:dyDescent="0.3">
      <c r="A40" s="45">
        <v>46177.385416666664</v>
      </c>
      <c r="B40" s="30">
        <v>0.97599999999999998</v>
      </c>
      <c r="C40">
        <v>1.64</v>
      </c>
    </row>
    <row r="41" spans="1:3" x14ac:dyDescent="0.3">
      <c r="A41" s="46">
        <v>46177.395833333336</v>
      </c>
      <c r="B41" s="34">
        <v>0.97299999999999998</v>
      </c>
      <c r="C41">
        <v>1.44</v>
      </c>
    </row>
    <row r="42" spans="1:3" x14ac:dyDescent="0.3">
      <c r="A42" s="45">
        <v>46177.40625</v>
      </c>
      <c r="B42" s="30">
        <v>0.97899999999999998</v>
      </c>
      <c r="C42">
        <v>1.9</v>
      </c>
    </row>
    <row r="43" spans="1:3" x14ac:dyDescent="0.3">
      <c r="A43" s="46">
        <v>46177.416666666664</v>
      </c>
      <c r="B43" s="34">
        <v>0.97399999999999998</v>
      </c>
      <c r="C43">
        <v>1.52</v>
      </c>
    </row>
    <row r="44" spans="1:3" x14ac:dyDescent="0.3">
      <c r="A44" s="45">
        <v>46177.427083333336</v>
      </c>
      <c r="B44" s="30">
        <v>0.97399999999999998</v>
      </c>
      <c r="C44">
        <v>1.48</v>
      </c>
    </row>
    <row r="45" spans="1:3" x14ac:dyDescent="0.3">
      <c r="A45" s="46">
        <v>46177.4375</v>
      </c>
      <c r="B45" s="34">
        <v>0.97299999999999998</v>
      </c>
      <c r="C45">
        <v>1.42</v>
      </c>
    </row>
    <row r="46" spans="1:3" x14ac:dyDescent="0.3">
      <c r="A46" s="45">
        <v>46177.447916666664</v>
      </c>
      <c r="B46" s="30">
        <v>0.97199999999999998</v>
      </c>
      <c r="C46">
        <v>1.4</v>
      </c>
    </row>
    <row r="47" spans="1:3" x14ac:dyDescent="0.3">
      <c r="A47" s="46">
        <v>46177.458333333336</v>
      </c>
      <c r="B47" s="34">
        <v>0.97099999999999997</v>
      </c>
      <c r="C47">
        <v>1.34</v>
      </c>
    </row>
    <row r="48" spans="1:3" x14ac:dyDescent="0.3">
      <c r="A48" s="45">
        <v>46177.46875</v>
      </c>
      <c r="B48" s="30">
        <v>0.97</v>
      </c>
      <c r="C48">
        <v>1.28</v>
      </c>
    </row>
    <row r="49" spans="1:3" x14ac:dyDescent="0.3">
      <c r="A49" s="46">
        <v>46177.479166666664</v>
      </c>
      <c r="B49" s="34">
        <v>0.95499999999999996</v>
      </c>
      <c r="C49">
        <v>1.28</v>
      </c>
    </row>
    <row r="50" spans="1:3" x14ac:dyDescent="0.3">
      <c r="A50" s="45">
        <v>46177.489583333336</v>
      </c>
      <c r="B50" s="30">
        <v>0.97199999999999998</v>
      </c>
      <c r="C50">
        <v>1.4</v>
      </c>
    </row>
    <row r="51" spans="1:3" x14ac:dyDescent="0.3">
      <c r="A51" s="46">
        <v>46177.5</v>
      </c>
      <c r="B51" s="34">
        <v>0.95799999999999996</v>
      </c>
      <c r="C51">
        <v>1.38</v>
      </c>
    </row>
    <row r="52" spans="1:3" x14ac:dyDescent="0.3">
      <c r="A52" s="45">
        <v>46177.510416666664</v>
      </c>
      <c r="B52" s="30">
        <v>0.95799999999999996</v>
      </c>
      <c r="C52">
        <v>1.38</v>
      </c>
    </row>
    <row r="53" spans="1:3" x14ac:dyDescent="0.3">
      <c r="A53" s="46">
        <v>46177.520833333336</v>
      </c>
      <c r="B53" s="34">
        <v>0.97399999999999998</v>
      </c>
      <c r="C53">
        <v>1.48</v>
      </c>
    </row>
    <row r="54" spans="1:3" x14ac:dyDescent="0.3">
      <c r="A54" s="45">
        <v>46177.53125</v>
      </c>
      <c r="B54" s="30">
        <v>0.97399999999999998</v>
      </c>
      <c r="C54">
        <v>1.52</v>
      </c>
    </row>
    <row r="55" spans="1:3" x14ac:dyDescent="0.3">
      <c r="A55" s="46">
        <v>46177.541666666664</v>
      </c>
      <c r="B55" s="34">
        <v>0.97899999999999998</v>
      </c>
      <c r="C55">
        <v>1.88</v>
      </c>
    </row>
    <row r="56" spans="1:3" x14ac:dyDescent="0.3">
      <c r="A56" s="45">
        <v>46177.552083333336</v>
      </c>
      <c r="B56" s="30">
        <v>0.97699999999999998</v>
      </c>
      <c r="C56">
        <v>1.7</v>
      </c>
    </row>
    <row r="57" spans="1:3" x14ac:dyDescent="0.3">
      <c r="A57" s="46">
        <v>46177.5625</v>
      </c>
      <c r="B57" s="34">
        <v>0.98</v>
      </c>
      <c r="C57">
        <v>1.94</v>
      </c>
    </row>
    <row r="58" spans="1:3" x14ac:dyDescent="0.3">
      <c r="A58" s="45">
        <v>46177.572916666664</v>
      </c>
      <c r="B58" s="30">
        <v>0.97499999999999998</v>
      </c>
      <c r="C58">
        <v>1.58</v>
      </c>
    </row>
    <row r="59" spans="1:3" x14ac:dyDescent="0.3">
      <c r="A59" s="46">
        <v>46177.583333333336</v>
      </c>
      <c r="B59" s="34">
        <v>0.98899999999999999</v>
      </c>
      <c r="C59">
        <v>1.74</v>
      </c>
    </row>
    <row r="60" spans="1:3" x14ac:dyDescent="0.3">
      <c r="A60" s="45">
        <v>46177.59375</v>
      </c>
      <c r="B60" s="30">
        <v>0.99099999999999999</v>
      </c>
      <c r="C60">
        <v>2.14</v>
      </c>
    </row>
    <row r="61" spans="1:3" x14ac:dyDescent="0.3">
      <c r="A61" s="46">
        <v>46177.604166666664</v>
      </c>
      <c r="B61" s="34">
        <v>0.98099999999999998</v>
      </c>
      <c r="C61">
        <v>1.27</v>
      </c>
    </row>
    <row r="62" spans="1:3" x14ac:dyDescent="0.3">
      <c r="A62" s="45">
        <v>46177.614583333336</v>
      </c>
      <c r="B62" s="30">
        <v>0.98099999999999998</v>
      </c>
      <c r="C62">
        <v>1.04</v>
      </c>
    </row>
    <row r="63" spans="1:3" x14ac:dyDescent="0.3">
      <c r="A63" s="46">
        <v>46177.625</v>
      </c>
      <c r="B63" s="34">
        <v>0.98199999999999998</v>
      </c>
      <c r="C63">
        <v>2.2200000000000002</v>
      </c>
    </row>
    <row r="64" spans="1:3" x14ac:dyDescent="0.3">
      <c r="A64" s="45">
        <v>46177.635416666664</v>
      </c>
      <c r="B64" s="30">
        <v>0.98199999999999998</v>
      </c>
      <c r="C64">
        <v>2.14</v>
      </c>
    </row>
    <row r="65" spans="1:3" x14ac:dyDescent="0.3">
      <c r="A65" s="46">
        <v>46177.645833333336</v>
      </c>
      <c r="B65" s="34">
        <v>0.98099999999999998</v>
      </c>
      <c r="C65">
        <v>2.02</v>
      </c>
    </row>
    <row r="66" spans="1:3" x14ac:dyDescent="0.3">
      <c r="A66" s="45">
        <v>46177.65625</v>
      </c>
      <c r="B66" s="30">
        <v>0.98199999999999998</v>
      </c>
      <c r="C66">
        <v>2.04</v>
      </c>
    </row>
    <row r="67" spans="1:3" x14ac:dyDescent="0.3">
      <c r="A67" s="46">
        <v>46177.666666666664</v>
      </c>
      <c r="B67" s="34">
        <v>0.98099999999999998</v>
      </c>
      <c r="C67">
        <v>2.12</v>
      </c>
    </row>
    <row r="68" spans="1:3" x14ac:dyDescent="0.3">
      <c r="A68" s="45">
        <v>46177.677083333336</v>
      </c>
      <c r="B68" s="30">
        <v>0.99099999999999999</v>
      </c>
      <c r="C68">
        <v>2.2799999999999998</v>
      </c>
    </row>
    <row r="69" spans="1:3" x14ac:dyDescent="0.3">
      <c r="A69" s="46">
        <v>46177.6875</v>
      </c>
      <c r="B69" s="34">
        <v>0.98099999999999998</v>
      </c>
      <c r="C69">
        <v>2.06</v>
      </c>
    </row>
    <row r="70" spans="1:3" x14ac:dyDescent="0.3">
      <c r="A70" s="45">
        <v>46177.697916666664</v>
      </c>
      <c r="B70" s="30">
        <v>0.99199999999999999</v>
      </c>
      <c r="C70">
        <v>2.34</v>
      </c>
    </row>
    <row r="71" spans="1:3" x14ac:dyDescent="0.3">
      <c r="A71" s="46">
        <v>46177.708333333336</v>
      </c>
      <c r="B71" s="34">
        <v>0.97899999999999998</v>
      </c>
      <c r="C71">
        <v>1.86</v>
      </c>
    </row>
    <row r="72" spans="1:3" x14ac:dyDescent="0.3">
      <c r="A72" s="45">
        <v>46177.71875</v>
      </c>
      <c r="B72" s="30">
        <v>0.98</v>
      </c>
      <c r="C72">
        <v>1.94</v>
      </c>
    </row>
    <row r="73" spans="1:3" x14ac:dyDescent="0.3">
      <c r="A73" s="46">
        <v>46177.729166666664</v>
      </c>
      <c r="B73" s="34">
        <v>0.99099999999999999</v>
      </c>
      <c r="C73">
        <v>2.86</v>
      </c>
    </row>
    <row r="74" spans="1:3" x14ac:dyDescent="0.3">
      <c r="A74" s="45">
        <v>46177.739583333336</v>
      </c>
      <c r="B74" s="30">
        <v>0.99099999999999999</v>
      </c>
      <c r="C74">
        <v>2.1</v>
      </c>
    </row>
    <row r="75" spans="1:3" x14ac:dyDescent="0.3">
      <c r="A75" s="46">
        <v>46177.75</v>
      </c>
      <c r="B75" s="34">
        <v>0.99099999999999999</v>
      </c>
      <c r="C75">
        <v>2.16</v>
      </c>
    </row>
    <row r="76" spans="1:3" x14ac:dyDescent="0.3">
      <c r="A76" s="45">
        <v>46177.760416666664</v>
      </c>
      <c r="B76" s="30">
        <v>0.98399999999999999</v>
      </c>
      <c r="C76">
        <v>2.44</v>
      </c>
    </row>
    <row r="77" spans="1:3" x14ac:dyDescent="0.3">
      <c r="A77" s="46">
        <v>46177.770833333336</v>
      </c>
      <c r="B77" s="34">
        <v>0.98599999999999999</v>
      </c>
      <c r="C77">
        <v>2.86</v>
      </c>
    </row>
    <row r="78" spans="1:3" x14ac:dyDescent="0.3">
      <c r="A78" s="45">
        <v>46177.78125</v>
      </c>
      <c r="B78" s="30">
        <v>0.98499999999999999</v>
      </c>
      <c r="C78">
        <v>2.56</v>
      </c>
    </row>
    <row r="79" spans="1:3" x14ac:dyDescent="0.3">
      <c r="A79" s="46">
        <v>46177.791666666664</v>
      </c>
      <c r="B79" s="34">
        <v>0.97499999999999998</v>
      </c>
      <c r="C79">
        <v>3.14</v>
      </c>
    </row>
    <row r="80" spans="1:3" x14ac:dyDescent="0.3">
      <c r="A80" s="45">
        <v>46177.802083333336</v>
      </c>
      <c r="B80" s="30">
        <v>0.97299999999999998</v>
      </c>
      <c r="C80">
        <v>2.9</v>
      </c>
    </row>
    <row r="81" spans="1:3" x14ac:dyDescent="0.3">
      <c r="A81" s="46">
        <v>46177.8125</v>
      </c>
      <c r="B81" s="34">
        <v>0.98099999999999998</v>
      </c>
      <c r="C81">
        <v>3.14</v>
      </c>
    </row>
    <row r="82" spans="1:3" x14ac:dyDescent="0.3">
      <c r="A82" s="45">
        <v>46177.822916666664</v>
      </c>
      <c r="B82" s="30">
        <v>0.98199999999999998</v>
      </c>
      <c r="C82">
        <v>3.28</v>
      </c>
    </row>
    <row r="83" spans="1:3" x14ac:dyDescent="0.3">
      <c r="A83" s="46">
        <v>46177.833333333336</v>
      </c>
      <c r="B83" s="34">
        <v>0.97499999999999998</v>
      </c>
      <c r="C83">
        <v>3.18</v>
      </c>
    </row>
    <row r="84" spans="1:3" x14ac:dyDescent="0.3">
      <c r="A84" s="45">
        <v>46177.84375</v>
      </c>
      <c r="B84" s="30">
        <v>0.97599999999999998</v>
      </c>
      <c r="C84">
        <v>3.26</v>
      </c>
    </row>
    <row r="85" spans="1:3" x14ac:dyDescent="0.3">
      <c r="A85" s="46">
        <v>46177.854166666664</v>
      </c>
      <c r="B85" s="34">
        <v>0.97599999999999998</v>
      </c>
      <c r="C85">
        <v>3.3</v>
      </c>
    </row>
    <row r="86" spans="1:3" x14ac:dyDescent="0.3">
      <c r="A86" s="45">
        <v>46177.864583333336</v>
      </c>
      <c r="B86" s="30">
        <v>0.97899999999999998</v>
      </c>
      <c r="C86">
        <v>3.66</v>
      </c>
    </row>
    <row r="87" spans="1:3" x14ac:dyDescent="0.3">
      <c r="A87" s="46">
        <v>46177.875</v>
      </c>
      <c r="B87" s="34">
        <v>0.97399999999999998</v>
      </c>
      <c r="C87">
        <v>3.72</v>
      </c>
    </row>
    <row r="88" spans="1:3" x14ac:dyDescent="0.3">
      <c r="A88" s="45">
        <v>46177.885416666664</v>
      </c>
      <c r="B88" s="30">
        <v>0.97499999999999998</v>
      </c>
      <c r="C88">
        <v>3.98</v>
      </c>
    </row>
    <row r="89" spans="1:3" x14ac:dyDescent="0.3">
      <c r="A89" s="46">
        <v>46177.895833333336</v>
      </c>
      <c r="B89" s="34">
        <v>0.97699999999999998</v>
      </c>
      <c r="C89">
        <v>4.12</v>
      </c>
    </row>
    <row r="90" spans="1:3" x14ac:dyDescent="0.3">
      <c r="A90" s="45">
        <v>46177.90625</v>
      </c>
      <c r="B90" s="30">
        <v>0.97</v>
      </c>
      <c r="C90">
        <v>3.84</v>
      </c>
    </row>
    <row r="91" spans="1:3" x14ac:dyDescent="0.3">
      <c r="A91" s="46">
        <v>46177.916666666664</v>
      </c>
      <c r="B91" s="34">
        <v>0.98299999999999998</v>
      </c>
      <c r="C91">
        <v>4.72</v>
      </c>
    </row>
    <row r="92" spans="1:3" x14ac:dyDescent="0.3">
      <c r="A92" s="45">
        <v>46177.927083333336</v>
      </c>
      <c r="B92" s="30">
        <v>0.97399999999999998</v>
      </c>
      <c r="C92">
        <v>3.67</v>
      </c>
    </row>
    <row r="93" spans="1:3" x14ac:dyDescent="0.3">
      <c r="A93" s="46">
        <v>46177.9375</v>
      </c>
      <c r="B93" s="34">
        <v>0.97399999999999998</v>
      </c>
      <c r="C93">
        <v>3.74</v>
      </c>
    </row>
    <row r="94" spans="1:3" x14ac:dyDescent="0.3">
      <c r="A94" s="45">
        <v>46177.947916666664</v>
      </c>
      <c r="B94" s="30">
        <v>0.97899999999999998</v>
      </c>
      <c r="C94">
        <v>3.72</v>
      </c>
    </row>
    <row r="95" spans="1:3" x14ac:dyDescent="0.3">
      <c r="A95" s="46">
        <v>46177.958333333336</v>
      </c>
      <c r="B95" s="34">
        <v>0.98099999999999998</v>
      </c>
      <c r="C95">
        <v>4.0599999999999996</v>
      </c>
    </row>
    <row r="96" spans="1:3" x14ac:dyDescent="0.3">
      <c r="A96" s="45">
        <v>46177.96875</v>
      </c>
      <c r="B96" s="30">
        <v>0.98</v>
      </c>
      <c r="C96">
        <v>3.92</v>
      </c>
    </row>
    <row r="97" spans="1:3" x14ac:dyDescent="0.3">
      <c r="A97" s="46">
        <v>46177.979166666664</v>
      </c>
      <c r="B97" s="34">
        <v>0.98099999999999998</v>
      </c>
      <c r="C97">
        <v>4.18</v>
      </c>
    </row>
    <row r="98" spans="1:3" x14ac:dyDescent="0.3">
      <c r="A98" s="45">
        <v>46177.989583333336</v>
      </c>
      <c r="B98" s="30">
        <v>0.98499999999999999</v>
      </c>
      <c r="C98">
        <v>3.98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85C54-27D1-4072-9A0B-AE9E94E29AE2}">
  <dimension ref="A1:C96"/>
  <sheetViews>
    <sheetView workbookViewId="0">
      <selection sqref="A1:C96"/>
    </sheetView>
  </sheetViews>
  <sheetFormatPr defaultRowHeight="14.4" x14ac:dyDescent="0.3"/>
  <cols>
    <col min="1" max="1" width="15.77734375" customWidth="1"/>
  </cols>
  <sheetData>
    <row r="1" spans="1:3" x14ac:dyDescent="0.3">
      <c r="A1" s="30" t="s">
        <v>159</v>
      </c>
      <c r="B1" s="30" t="s">
        <v>186</v>
      </c>
      <c r="C1" s="72" t="s">
        <v>167</v>
      </c>
    </row>
    <row r="2" spans="1:3" x14ac:dyDescent="0.3">
      <c r="A2" s="45">
        <v>46177.010416666664</v>
      </c>
      <c r="B2" s="30">
        <v>0.97299999999999998</v>
      </c>
      <c r="C2">
        <v>3.56</v>
      </c>
    </row>
    <row r="3" spans="1:3" x14ac:dyDescent="0.3">
      <c r="A3" s="46">
        <v>46177.020833333336</v>
      </c>
      <c r="B3" s="34">
        <v>0.97799999999999998</v>
      </c>
      <c r="C3">
        <v>5.52</v>
      </c>
    </row>
    <row r="4" spans="1:3" x14ac:dyDescent="0.3">
      <c r="A4" s="45">
        <v>46177.03125</v>
      </c>
      <c r="B4" s="30">
        <v>0.98399999999999999</v>
      </c>
      <c r="C4">
        <v>3.62</v>
      </c>
    </row>
    <row r="5" spans="1:3" x14ac:dyDescent="0.3">
      <c r="A5" s="46">
        <v>46177.041666666664</v>
      </c>
      <c r="B5" s="34">
        <v>0.97699999999999998</v>
      </c>
      <c r="C5">
        <v>3.46</v>
      </c>
    </row>
    <row r="6" spans="1:3" x14ac:dyDescent="0.3">
      <c r="A6" s="45">
        <v>46177.052083333336</v>
      </c>
      <c r="B6" s="30">
        <v>0.98399999999999999</v>
      </c>
      <c r="C6">
        <v>3.64</v>
      </c>
    </row>
    <row r="7" spans="1:3" x14ac:dyDescent="0.3">
      <c r="A7" s="46">
        <v>46177.0625</v>
      </c>
      <c r="B7" s="34">
        <v>0.98</v>
      </c>
      <c r="C7">
        <v>3</v>
      </c>
    </row>
    <row r="8" spans="1:3" x14ac:dyDescent="0.3">
      <c r="A8" s="45">
        <v>46177.072916666664</v>
      </c>
      <c r="B8" s="30">
        <v>0.97199999999999998</v>
      </c>
      <c r="C8">
        <v>2.82</v>
      </c>
    </row>
    <row r="9" spans="1:3" x14ac:dyDescent="0.3">
      <c r="A9" s="46">
        <v>46177.083333333336</v>
      </c>
      <c r="B9" s="34">
        <v>0.98099999999999998</v>
      </c>
      <c r="C9">
        <v>3.02</v>
      </c>
    </row>
    <row r="10" spans="1:3" x14ac:dyDescent="0.3">
      <c r="A10" s="45">
        <v>46177.09375</v>
      </c>
      <c r="B10" s="30">
        <v>0.98</v>
      </c>
      <c r="C10">
        <v>2.98</v>
      </c>
    </row>
    <row r="11" spans="1:3" x14ac:dyDescent="0.3">
      <c r="A11" s="46">
        <v>46177.104166666664</v>
      </c>
      <c r="B11" s="34">
        <v>0.97899999999999998</v>
      </c>
      <c r="C11">
        <v>2.74</v>
      </c>
    </row>
    <row r="12" spans="1:3" x14ac:dyDescent="0.3">
      <c r="A12" s="45">
        <v>46177.114583333336</v>
      </c>
      <c r="B12" s="30">
        <v>0.98099999999999998</v>
      </c>
      <c r="C12">
        <v>3.04</v>
      </c>
    </row>
    <row r="13" spans="1:3" x14ac:dyDescent="0.3">
      <c r="A13" s="46">
        <v>46177.125</v>
      </c>
      <c r="B13" s="34">
        <v>0.97699999999999998</v>
      </c>
      <c r="C13">
        <v>2.56</v>
      </c>
    </row>
    <row r="14" spans="1:3" x14ac:dyDescent="0.3">
      <c r="A14" s="45">
        <v>46177.135416666664</v>
      </c>
      <c r="B14" s="30">
        <v>0.97599999999999998</v>
      </c>
      <c r="C14">
        <v>2.44</v>
      </c>
    </row>
    <row r="15" spans="1:3" x14ac:dyDescent="0.3">
      <c r="A15" s="46">
        <v>46177.145833333336</v>
      </c>
      <c r="B15" s="34">
        <v>0.98399999999999999</v>
      </c>
      <c r="C15">
        <v>2.42</v>
      </c>
    </row>
    <row r="16" spans="1:3" x14ac:dyDescent="0.3">
      <c r="A16" s="45">
        <v>46177.15625</v>
      </c>
      <c r="B16" s="30">
        <v>0.98399999999999999</v>
      </c>
      <c r="C16">
        <v>2.5</v>
      </c>
    </row>
    <row r="17" spans="1:3" x14ac:dyDescent="0.3">
      <c r="A17" s="46">
        <v>46177.166666666664</v>
      </c>
      <c r="B17" s="34">
        <v>0.98399999999999999</v>
      </c>
      <c r="C17">
        <v>2.42</v>
      </c>
    </row>
    <row r="18" spans="1:3" x14ac:dyDescent="0.3">
      <c r="A18" s="45">
        <v>46177.177083333336</v>
      </c>
      <c r="B18" s="30">
        <v>0.98399999999999999</v>
      </c>
      <c r="C18">
        <v>2.44</v>
      </c>
    </row>
    <row r="19" spans="1:3" x14ac:dyDescent="0.3">
      <c r="A19" s="46">
        <v>46177.1875</v>
      </c>
      <c r="B19" s="34">
        <v>0.98499999999999999</v>
      </c>
      <c r="C19">
        <v>2.66</v>
      </c>
    </row>
    <row r="20" spans="1:3" x14ac:dyDescent="0.3">
      <c r="A20" s="45">
        <v>46177.197916666664</v>
      </c>
      <c r="B20" s="30">
        <v>0.98299999999999998</v>
      </c>
      <c r="C20">
        <v>2.36</v>
      </c>
    </row>
    <row r="21" spans="1:3" x14ac:dyDescent="0.3">
      <c r="A21" s="46">
        <v>46177.208333333336</v>
      </c>
      <c r="B21" s="34">
        <v>0.97399999999999998</v>
      </c>
      <c r="C21">
        <v>2.2799999999999998</v>
      </c>
    </row>
    <row r="22" spans="1:3" x14ac:dyDescent="0.3">
      <c r="A22" s="45">
        <v>46177.21875</v>
      </c>
      <c r="B22" s="30">
        <v>0.98299999999999998</v>
      </c>
      <c r="C22">
        <v>2.2999999999999998</v>
      </c>
    </row>
    <row r="23" spans="1:3" x14ac:dyDescent="0.3">
      <c r="A23" s="46">
        <v>46177.229166666664</v>
      </c>
      <c r="B23" s="34">
        <v>0.97499999999999998</v>
      </c>
      <c r="C23">
        <v>2.2999999999999998</v>
      </c>
    </row>
    <row r="24" spans="1:3" x14ac:dyDescent="0.3">
      <c r="A24" s="45">
        <v>46177.239583333336</v>
      </c>
      <c r="B24" s="30">
        <v>0.97399999999999998</v>
      </c>
      <c r="C24">
        <v>2.23</v>
      </c>
    </row>
    <row r="25" spans="1:3" x14ac:dyDescent="0.3">
      <c r="A25" s="46">
        <v>46177.25</v>
      </c>
      <c r="B25" s="34">
        <v>0.97299999999999998</v>
      </c>
      <c r="C25">
        <v>2.2000000000000002</v>
      </c>
    </row>
    <row r="26" spans="1:3" x14ac:dyDescent="0.3">
      <c r="A26" s="45">
        <v>46177.260416666664</v>
      </c>
      <c r="B26" s="30">
        <v>0.97399999999999998</v>
      </c>
      <c r="C26">
        <v>2.2400000000000002</v>
      </c>
    </row>
    <row r="27" spans="1:3" x14ac:dyDescent="0.3">
      <c r="A27" s="46">
        <v>46177.270833333336</v>
      </c>
      <c r="B27" s="34">
        <v>0.97499999999999998</v>
      </c>
      <c r="C27">
        <v>2.34</v>
      </c>
    </row>
    <row r="28" spans="1:3" x14ac:dyDescent="0.3">
      <c r="A28" s="45">
        <v>46177.28125</v>
      </c>
      <c r="B28" s="30">
        <v>0.97599999999999998</v>
      </c>
      <c r="C28">
        <v>2.48</v>
      </c>
    </row>
    <row r="29" spans="1:3" x14ac:dyDescent="0.3">
      <c r="A29" s="46">
        <v>46177.291666666664</v>
      </c>
      <c r="B29" s="34">
        <v>0.97799999999999998</v>
      </c>
      <c r="C29">
        <v>2.68</v>
      </c>
    </row>
    <row r="30" spans="1:3" x14ac:dyDescent="0.3">
      <c r="A30" s="45">
        <v>46177.302083333336</v>
      </c>
      <c r="B30" s="30">
        <v>0.98599999999999999</v>
      </c>
      <c r="C30">
        <v>2.86</v>
      </c>
    </row>
    <row r="31" spans="1:3" x14ac:dyDescent="0.3">
      <c r="A31" s="46">
        <v>46177.3125</v>
      </c>
      <c r="B31" s="34">
        <v>0.98799999999999999</v>
      </c>
      <c r="C31">
        <v>3.2</v>
      </c>
    </row>
    <row r="32" spans="1:3" x14ac:dyDescent="0.3">
      <c r="A32" s="45">
        <v>46177.322916666664</v>
      </c>
      <c r="B32" s="30">
        <v>0.99399999999999999</v>
      </c>
      <c r="C32">
        <v>3.24</v>
      </c>
    </row>
    <row r="33" spans="1:3" x14ac:dyDescent="0.3">
      <c r="A33" s="46">
        <v>46177.333333333336</v>
      </c>
      <c r="B33" s="34">
        <v>0.99399999999999999</v>
      </c>
      <c r="C33">
        <v>3.5</v>
      </c>
    </row>
    <row r="34" spans="1:3" x14ac:dyDescent="0.3">
      <c r="A34" s="45">
        <v>46177.34375</v>
      </c>
      <c r="B34" s="30">
        <v>0.995</v>
      </c>
      <c r="C34">
        <v>3.86</v>
      </c>
    </row>
    <row r="35" spans="1:3" x14ac:dyDescent="0.3">
      <c r="A35" s="46">
        <v>46177.354166666664</v>
      </c>
      <c r="B35" s="34">
        <v>0.98599999999999999</v>
      </c>
      <c r="C35">
        <v>2.8</v>
      </c>
    </row>
    <row r="36" spans="1:3" x14ac:dyDescent="0.3">
      <c r="A36" s="45">
        <v>46177.364583333336</v>
      </c>
      <c r="B36" s="30">
        <v>0.97799999999999998</v>
      </c>
      <c r="C36">
        <v>1.76</v>
      </c>
    </row>
    <row r="37" spans="1:3" x14ac:dyDescent="0.3">
      <c r="A37" s="46">
        <v>46177.375</v>
      </c>
      <c r="B37" s="34">
        <v>0.98799999999999999</v>
      </c>
      <c r="C37">
        <v>1.68</v>
      </c>
    </row>
    <row r="38" spans="1:3" x14ac:dyDescent="0.3">
      <c r="A38" s="45">
        <v>46177.385416666664</v>
      </c>
      <c r="B38" s="30">
        <v>0.97599999999999998</v>
      </c>
      <c r="C38">
        <v>1.64</v>
      </c>
    </row>
    <row r="39" spans="1:3" x14ac:dyDescent="0.3">
      <c r="A39" s="46">
        <v>46177.395833333336</v>
      </c>
      <c r="B39" s="34">
        <v>0.97299999999999998</v>
      </c>
      <c r="C39">
        <v>1.44</v>
      </c>
    </row>
    <row r="40" spans="1:3" x14ac:dyDescent="0.3">
      <c r="A40" s="45">
        <v>46177.40625</v>
      </c>
      <c r="B40" s="30">
        <v>0.97899999999999998</v>
      </c>
      <c r="C40">
        <v>1.9</v>
      </c>
    </row>
    <row r="41" spans="1:3" x14ac:dyDescent="0.3">
      <c r="A41" s="46">
        <v>46177.416666666664</v>
      </c>
      <c r="B41" s="34">
        <v>0.97399999999999998</v>
      </c>
      <c r="C41">
        <v>1.52</v>
      </c>
    </row>
    <row r="42" spans="1:3" x14ac:dyDescent="0.3">
      <c r="A42" s="45">
        <v>46177.427083333336</v>
      </c>
      <c r="B42" s="30">
        <v>0.97399999999999998</v>
      </c>
      <c r="C42">
        <v>1.48</v>
      </c>
    </row>
    <row r="43" spans="1:3" x14ac:dyDescent="0.3">
      <c r="A43" s="46">
        <v>46177.4375</v>
      </c>
      <c r="B43" s="34">
        <v>0.97299999999999998</v>
      </c>
      <c r="C43">
        <v>1.42</v>
      </c>
    </row>
    <row r="44" spans="1:3" x14ac:dyDescent="0.3">
      <c r="A44" s="45">
        <v>46177.447916666664</v>
      </c>
      <c r="B44" s="30">
        <v>0.97199999999999998</v>
      </c>
      <c r="C44">
        <v>1.4</v>
      </c>
    </row>
    <row r="45" spans="1:3" x14ac:dyDescent="0.3">
      <c r="A45" s="46">
        <v>46177.458333333336</v>
      </c>
      <c r="B45" s="34">
        <v>0.97099999999999997</v>
      </c>
      <c r="C45">
        <v>1.34</v>
      </c>
    </row>
    <row r="46" spans="1:3" x14ac:dyDescent="0.3">
      <c r="A46" s="45">
        <v>46177.46875</v>
      </c>
      <c r="B46" s="30">
        <v>0.97</v>
      </c>
      <c r="C46">
        <v>1.28</v>
      </c>
    </row>
    <row r="47" spans="1:3" x14ac:dyDescent="0.3">
      <c r="A47" s="46">
        <v>46177.479166666664</v>
      </c>
      <c r="B47" s="34">
        <v>0.95499999999999996</v>
      </c>
      <c r="C47">
        <v>1.28</v>
      </c>
    </row>
    <row r="48" spans="1:3" x14ac:dyDescent="0.3">
      <c r="A48" s="45">
        <v>46177.489583333336</v>
      </c>
      <c r="B48" s="30">
        <v>0.97199999999999998</v>
      </c>
      <c r="C48">
        <v>1.4</v>
      </c>
    </row>
    <row r="49" spans="1:3" x14ac:dyDescent="0.3">
      <c r="A49" s="46">
        <v>46177.5</v>
      </c>
      <c r="B49" s="34">
        <v>0.95799999999999996</v>
      </c>
      <c r="C49">
        <v>1.38</v>
      </c>
    </row>
    <row r="50" spans="1:3" x14ac:dyDescent="0.3">
      <c r="A50" s="45">
        <v>46177.510416666664</v>
      </c>
      <c r="B50" s="30">
        <v>0.95799999999999996</v>
      </c>
      <c r="C50">
        <v>1.38</v>
      </c>
    </row>
    <row r="51" spans="1:3" x14ac:dyDescent="0.3">
      <c r="A51" s="46">
        <v>46177.520833333336</v>
      </c>
      <c r="B51" s="34">
        <v>0.97399999999999998</v>
      </c>
      <c r="C51">
        <v>1.48</v>
      </c>
    </row>
    <row r="52" spans="1:3" x14ac:dyDescent="0.3">
      <c r="A52" s="45">
        <v>46177.53125</v>
      </c>
      <c r="B52" s="30">
        <v>0.97399999999999998</v>
      </c>
      <c r="C52">
        <v>1.52</v>
      </c>
    </row>
    <row r="53" spans="1:3" x14ac:dyDescent="0.3">
      <c r="A53" s="46">
        <v>46177.541666666664</v>
      </c>
      <c r="B53" s="34">
        <v>0.97899999999999998</v>
      </c>
      <c r="C53">
        <v>1.88</v>
      </c>
    </row>
    <row r="54" spans="1:3" x14ac:dyDescent="0.3">
      <c r="A54" s="45">
        <v>46177.552083333336</v>
      </c>
      <c r="B54" s="30">
        <v>0.97699999999999998</v>
      </c>
      <c r="C54">
        <v>1.7</v>
      </c>
    </row>
    <row r="55" spans="1:3" x14ac:dyDescent="0.3">
      <c r="A55" s="46">
        <v>46177.5625</v>
      </c>
      <c r="B55" s="34">
        <v>0.98</v>
      </c>
      <c r="C55">
        <v>1.94</v>
      </c>
    </row>
    <row r="56" spans="1:3" x14ac:dyDescent="0.3">
      <c r="A56" s="45">
        <v>46177.572916666664</v>
      </c>
      <c r="B56" s="30">
        <v>0.97499999999999998</v>
      </c>
      <c r="C56">
        <v>1.58</v>
      </c>
    </row>
    <row r="57" spans="1:3" x14ac:dyDescent="0.3">
      <c r="A57" s="46">
        <v>46177.583333333336</v>
      </c>
      <c r="B57" s="34">
        <v>0.98899999999999999</v>
      </c>
      <c r="C57">
        <v>1.74</v>
      </c>
    </row>
    <row r="58" spans="1:3" x14ac:dyDescent="0.3">
      <c r="A58" s="45">
        <v>46177.59375</v>
      </c>
      <c r="B58" s="30">
        <v>0.99099999999999999</v>
      </c>
      <c r="C58">
        <v>2.14</v>
      </c>
    </row>
    <row r="59" spans="1:3" x14ac:dyDescent="0.3">
      <c r="A59" s="46">
        <v>46177.604166666664</v>
      </c>
      <c r="B59" s="34">
        <v>0.98099999999999998</v>
      </c>
      <c r="C59">
        <v>1.27</v>
      </c>
    </row>
    <row r="60" spans="1:3" x14ac:dyDescent="0.3">
      <c r="A60" s="45">
        <v>46177.614583333336</v>
      </c>
      <c r="B60" s="30">
        <v>0.98099999999999998</v>
      </c>
      <c r="C60">
        <v>1.04</v>
      </c>
    </row>
    <row r="61" spans="1:3" x14ac:dyDescent="0.3">
      <c r="A61" s="46">
        <v>46177.625</v>
      </c>
      <c r="B61" s="34">
        <v>0.98199999999999998</v>
      </c>
      <c r="C61">
        <v>2.2200000000000002</v>
      </c>
    </row>
    <row r="62" spans="1:3" x14ac:dyDescent="0.3">
      <c r="A62" s="45">
        <v>46177.635416666664</v>
      </c>
      <c r="B62" s="30">
        <v>0.98199999999999998</v>
      </c>
      <c r="C62">
        <v>2.14</v>
      </c>
    </row>
    <row r="63" spans="1:3" x14ac:dyDescent="0.3">
      <c r="A63" s="46">
        <v>46177.645833333336</v>
      </c>
      <c r="B63" s="34">
        <v>0.98099999999999998</v>
      </c>
      <c r="C63">
        <v>2.02</v>
      </c>
    </row>
    <row r="64" spans="1:3" x14ac:dyDescent="0.3">
      <c r="A64" s="45">
        <v>46177.65625</v>
      </c>
      <c r="B64" s="30">
        <v>0.98199999999999998</v>
      </c>
      <c r="C64">
        <v>2.04</v>
      </c>
    </row>
    <row r="65" spans="1:3" x14ac:dyDescent="0.3">
      <c r="A65" s="46">
        <v>46177.666666666664</v>
      </c>
      <c r="B65" s="34">
        <v>0.98099999999999998</v>
      </c>
      <c r="C65">
        <v>2.12</v>
      </c>
    </row>
    <row r="66" spans="1:3" x14ac:dyDescent="0.3">
      <c r="A66" s="45">
        <v>46177.677083333336</v>
      </c>
      <c r="B66" s="30">
        <v>0.99099999999999999</v>
      </c>
      <c r="C66">
        <v>2.2799999999999998</v>
      </c>
    </row>
    <row r="67" spans="1:3" x14ac:dyDescent="0.3">
      <c r="A67" s="46">
        <v>46177.6875</v>
      </c>
      <c r="B67" s="34">
        <v>0.98099999999999998</v>
      </c>
      <c r="C67">
        <v>2.06</v>
      </c>
    </row>
    <row r="68" spans="1:3" x14ac:dyDescent="0.3">
      <c r="A68" s="45">
        <v>46177.697916666664</v>
      </c>
      <c r="B68" s="30">
        <v>0.99199999999999999</v>
      </c>
      <c r="C68">
        <v>2.34</v>
      </c>
    </row>
    <row r="69" spans="1:3" x14ac:dyDescent="0.3">
      <c r="A69" s="46">
        <v>46177.708333333336</v>
      </c>
      <c r="B69" s="34">
        <v>0.97899999999999998</v>
      </c>
      <c r="C69">
        <v>1.86</v>
      </c>
    </row>
    <row r="70" spans="1:3" x14ac:dyDescent="0.3">
      <c r="A70" s="45">
        <v>46177.71875</v>
      </c>
      <c r="B70" s="30">
        <v>0.98</v>
      </c>
      <c r="C70">
        <v>1.94</v>
      </c>
    </row>
    <row r="71" spans="1:3" x14ac:dyDescent="0.3">
      <c r="A71" s="46">
        <v>46177.729166666664</v>
      </c>
      <c r="B71" s="34">
        <v>0.99099999999999999</v>
      </c>
      <c r="C71">
        <v>2.86</v>
      </c>
    </row>
    <row r="72" spans="1:3" x14ac:dyDescent="0.3">
      <c r="A72" s="45">
        <v>46177.739583333336</v>
      </c>
      <c r="B72" s="30">
        <v>0.99099999999999999</v>
      </c>
      <c r="C72">
        <v>2.1</v>
      </c>
    </row>
    <row r="73" spans="1:3" x14ac:dyDescent="0.3">
      <c r="A73" s="46">
        <v>46177.75</v>
      </c>
      <c r="B73" s="34">
        <v>0.99099999999999999</v>
      </c>
      <c r="C73">
        <v>2.16</v>
      </c>
    </row>
    <row r="74" spans="1:3" x14ac:dyDescent="0.3">
      <c r="A74" s="45">
        <v>46177.760416666664</v>
      </c>
      <c r="B74" s="30">
        <v>0.98399999999999999</v>
      </c>
      <c r="C74">
        <v>2.44</v>
      </c>
    </row>
    <row r="75" spans="1:3" x14ac:dyDescent="0.3">
      <c r="A75" s="46">
        <v>46177.770833333336</v>
      </c>
      <c r="B75" s="34">
        <v>0.98599999999999999</v>
      </c>
      <c r="C75">
        <v>2.86</v>
      </c>
    </row>
    <row r="76" spans="1:3" x14ac:dyDescent="0.3">
      <c r="A76" s="45">
        <v>46177.78125</v>
      </c>
      <c r="B76" s="30">
        <v>0.98499999999999999</v>
      </c>
      <c r="C76">
        <v>2.56</v>
      </c>
    </row>
    <row r="77" spans="1:3" x14ac:dyDescent="0.3">
      <c r="A77" s="46">
        <v>46177.791666666664</v>
      </c>
      <c r="B77" s="34">
        <v>0.97499999999999998</v>
      </c>
      <c r="C77">
        <v>3.14</v>
      </c>
    </row>
    <row r="78" spans="1:3" x14ac:dyDescent="0.3">
      <c r="A78" s="45">
        <v>46177.802083333336</v>
      </c>
      <c r="B78" s="30">
        <v>0.97299999999999998</v>
      </c>
      <c r="C78">
        <v>2.9</v>
      </c>
    </row>
    <row r="79" spans="1:3" x14ac:dyDescent="0.3">
      <c r="A79" s="46">
        <v>46177.8125</v>
      </c>
      <c r="B79" s="34">
        <v>0.98099999999999998</v>
      </c>
      <c r="C79">
        <v>3.14</v>
      </c>
    </row>
    <row r="80" spans="1:3" x14ac:dyDescent="0.3">
      <c r="A80" s="45">
        <v>46177.822916666664</v>
      </c>
      <c r="B80" s="30">
        <v>0.98199999999999998</v>
      </c>
      <c r="C80">
        <v>3.28</v>
      </c>
    </row>
    <row r="81" spans="1:3" x14ac:dyDescent="0.3">
      <c r="A81" s="46">
        <v>46177.833333333336</v>
      </c>
      <c r="B81" s="34">
        <v>0.97499999999999998</v>
      </c>
      <c r="C81">
        <v>3.18</v>
      </c>
    </row>
    <row r="82" spans="1:3" x14ac:dyDescent="0.3">
      <c r="A82" s="45">
        <v>46177.84375</v>
      </c>
      <c r="B82" s="30">
        <v>0.97599999999999998</v>
      </c>
      <c r="C82">
        <v>3.26</v>
      </c>
    </row>
    <row r="83" spans="1:3" x14ac:dyDescent="0.3">
      <c r="A83" s="46">
        <v>46177.854166666664</v>
      </c>
      <c r="B83" s="34">
        <v>0.97599999999999998</v>
      </c>
      <c r="C83">
        <v>3.3</v>
      </c>
    </row>
    <row r="84" spans="1:3" x14ac:dyDescent="0.3">
      <c r="A84" s="45">
        <v>46177.864583333336</v>
      </c>
      <c r="B84" s="30">
        <v>0.97899999999999998</v>
      </c>
      <c r="C84">
        <v>3.66</v>
      </c>
    </row>
    <row r="85" spans="1:3" x14ac:dyDescent="0.3">
      <c r="A85" s="46">
        <v>46177.875</v>
      </c>
      <c r="B85" s="34">
        <v>0.97399999999999998</v>
      </c>
      <c r="C85">
        <v>3.72</v>
      </c>
    </row>
    <row r="86" spans="1:3" x14ac:dyDescent="0.3">
      <c r="A86" s="45">
        <v>46177.885416666664</v>
      </c>
      <c r="B86" s="30">
        <v>0.97499999999999998</v>
      </c>
      <c r="C86">
        <v>3.98</v>
      </c>
    </row>
    <row r="87" spans="1:3" x14ac:dyDescent="0.3">
      <c r="A87" s="46">
        <v>46177.895833333336</v>
      </c>
      <c r="B87" s="34">
        <v>0.97699999999999998</v>
      </c>
      <c r="C87">
        <v>4.12</v>
      </c>
    </row>
    <row r="88" spans="1:3" x14ac:dyDescent="0.3">
      <c r="A88" s="45">
        <v>46177.90625</v>
      </c>
      <c r="B88" s="30">
        <v>0.97</v>
      </c>
      <c r="C88">
        <v>3.84</v>
      </c>
    </row>
    <row r="89" spans="1:3" x14ac:dyDescent="0.3">
      <c r="A89" s="46">
        <v>46177.916666666664</v>
      </c>
      <c r="B89" s="34">
        <v>0.98299999999999998</v>
      </c>
      <c r="C89">
        <v>4.72</v>
      </c>
    </row>
    <row r="90" spans="1:3" x14ac:dyDescent="0.3">
      <c r="A90" s="45">
        <v>46177.927083333336</v>
      </c>
      <c r="B90" s="30">
        <v>0.97399999999999998</v>
      </c>
      <c r="C90">
        <v>3.67</v>
      </c>
    </row>
    <row r="91" spans="1:3" x14ac:dyDescent="0.3">
      <c r="A91" s="46">
        <v>46177.9375</v>
      </c>
      <c r="B91" s="34">
        <v>0.97399999999999998</v>
      </c>
      <c r="C91">
        <v>3.74</v>
      </c>
    </row>
    <row r="92" spans="1:3" x14ac:dyDescent="0.3">
      <c r="A92" s="45">
        <v>46177.947916666664</v>
      </c>
      <c r="B92" s="30">
        <v>0.97899999999999998</v>
      </c>
      <c r="C92">
        <v>3.72</v>
      </c>
    </row>
    <row r="93" spans="1:3" x14ac:dyDescent="0.3">
      <c r="A93" s="46">
        <v>46177.958333333336</v>
      </c>
      <c r="B93" s="34">
        <v>0.98099999999999998</v>
      </c>
      <c r="C93">
        <v>4.0599999999999996</v>
      </c>
    </row>
    <row r="94" spans="1:3" x14ac:dyDescent="0.3">
      <c r="A94" s="45">
        <v>46177.96875</v>
      </c>
      <c r="B94" s="30">
        <v>0.98</v>
      </c>
      <c r="C94">
        <v>3.92</v>
      </c>
    </row>
    <row r="95" spans="1:3" x14ac:dyDescent="0.3">
      <c r="A95" s="46">
        <v>46177.979166666664</v>
      </c>
      <c r="B95" s="34">
        <v>0.98099999999999998</v>
      </c>
      <c r="C95">
        <v>4.18</v>
      </c>
    </row>
    <row r="96" spans="1:3" x14ac:dyDescent="0.3">
      <c r="A96" s="45">
        <v>46177.989583333336</v>
      </c>
      <c r="B96" s="30">
        <v>0.98499999999999999</v>
      </c>
      <c r="C96">
        <v>3.98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BB04F-D77A-4611-A35C-3FE4CF89DD32}">
  <dimension ref="A1"/>
  <sheetViews>
    <sheetView workbookViewId="0">
      <selection activeCell="B3" sqref="B3"/>
    </sheetView>
  </sheetViews>
  <sheetFormatPr defaultRowHeight="14.4" x14ac:dyDescent="0.3"/>
  <sheetData>
    <row r="1" spans="1:1" x14ac:dyDescent="0.3">
      <c r="A1" t="s">
        <v>187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126AE-2A02-4F63-B42C-F08E751C9852}">
  <dimension ref="D1:R98"/>
  <sheetViews>
    <sheetView zoomScale="64" workbookViewId="0">
      <selection activeCell="R2" sqref="R2"/>
    </sheetView>
  </sheetViews>
  <sheetFormatPr defaultRowHeight="14.4" x14ac:dyDescent="0.3"/>
  <sheetData>
    <row r="1" spans="4:18" ht="27" thickBot="1" x14ac:dyDescent="0.35">
      <c r="D1" s="74" t="s">
        <v>0</v>
      </c>
      <c r="E1" s="75" t="s">
        <v>1</v>
      </c>
      <c r="F1" s="76" t="s">
        <v>2</v>
      </c>
      <c r="G1" s="76" t="s">
        <v>3</v>
      </c>
      <c r="H1" s="76" t="s">
        <v>4</v>
      </c>
      <c r="I1" s="76" t="s">
        <v>5</v>
      </c>
      <c r="J1" s="76" t="s">
        <v>6</v>
      </c>
      <c r="K1" s="76" t="s">
        <v>7</v>
      </c>
      <c r="L1" s="76" t="s">
        <v>8</v>
      </c>
      <c r="M1" s="76" t="s">
        <v>9</v>
      </c>
      <c r="N1" s="76" t="s">
        <v>10</v>
      </c>
      <c r="O1" s="76" t="s">
        <v>11</v>
      </c>
      <c r="P1" s="76" t="s">
        <v>12</v>
      </c>
      <c r="Q1" s="76" t="s">
        <v>13</v>
      </c>
      <c r="R1" s="77" t="s">
        <v>14</v>
      </c>
    </row>
    <row r="2" spans="4:18" ht="27.6" thickBot="1" x14ac:dyDescent="0.35">
      <c r="D2" s="78" t="s">
        <v>188</v>
      </c>
      <c r="E2" s="79">
        <v>1.0416666666666666E-2</v>
      </c>
      <c r="F2" s="80">
        <v>233.54</v>
      </c>
      <c r="G2" s="80">
        <v>233.83</v>
      </c>
      <c r="H2" s="80">
        <v>235.53</v>
      </c>
      <c r="I2" s="80">
        <v>11.27</v>
      </c>
      <c r="J2" s="80">
        <v>0</v>
      </c>
      <c r="K2" s="80">
        <v>3.79</v>
      </c>
      <c r="L2" s="80">
        <v>-0.98140000000000005</v>
      </c>
      <c r="M2" s="80">
        <v>0</v>
      </c>
      <c r="N2" s="80">
        <v>-0.68210000000000004</v>
      </c>
      <c r="O2" s="80">
        <v>2570</v>
      </c>
      <c r="P2" s="80">
        <v>370</v>
      </c>
      <c r="Q2" s="80">
        <v>600</v>
      </c>
      <c r="R2" s="81">
        <v>3540</v>
      </c>
    </row>
    <row r="3" spans="4:18" ht="27.6" thickBot="1" x14ac:dyDescent="0.35">
      <c r="D3" s="78" t="s">
        <v>188</v>
      </c>
      <c r="E3" s="79">
        <v>2.0833333333333332E-2</v>
      </c>
      <c r="F3" s="80">
        <v>234.3</v>
      </c>
      <c r="G3" s="80">
        <v>234.58</v>
      </c>
      <c r="H3" s="80">
        <v>236.26</v>
      </c>
      <c r="I3" s="80">
        <v>11.75</v>
      </c>
      <c r="J3" s="80">
        <v>0</v>
      </c>
      <c r="K3" s="80">
        <v>3.59</v>
      </c>
      <c r="L3" s="80">
        <v>-0.97719999999999996</v>
      </c>
      <c r="M3" s="80">
        <v>0</v>
      </c>
      <c r="N3" s="80">
        <v>-0.66620000000000001</v>
      </c>
      <c r="O3" s="80">
        <v>2680</v>
      </c>
      <c r="P3" s="80">
        <v>0</v>
      </c>
      <c r="Q3" s="80">
        <v>550</v>
      </c>
      <c r="R3" s="81">
        <v>3230</v>
      </c>
    </row>
    <row r="4" spans="4:18" ht="27.6" thickBot="1" x14ac:dyDescent="0.35">
      <c r="D4" s="78" t="s">
        <v>188</v>
      </c>
      <c r="E4" s="79">
        <v>3.125E-2</v>
      </c>
      <c r="F4" s="80">
        <v>233.02</v>
      </c>
      <c r="G4" s="80">
        <v>233.3</v>
      </c>
      <c r="H4" s="80">
        <v>234.85</v>
      </c>
      <c r="I4" s="80">
        <v>11.55</v>
      </c>
      <c r="J4" s="80">
        <v>0</v>
      </c>
      <c r="K4" s="80">
        <v>4.43</v>
      </c>
      <c r="L4" s="80">
        <v>-0.97599999999999998</v>
      </c>
      <c r="M4" s="80">
        <v>0</v>
      </c>
      <c r="N4" s="80">
        <v>-0.68979999999999997</v>
      </c>
      <c r="O4" s="80">
        <v>2610</v>
      </c>
      <c r="P4" s="80">
        <v>0</v>
      </c>
      <c r="Q4" s="80">
        <v>700</v>
      </c>
      <c r="R4" s="81">
        <v>3310</v>
      </c>
    </row>
    <row r="5" spans="4:18" ht="27.6" thickBot="1" x14ac:dyDescent="0.35">
      <c r="D5" s="78" t="s">
        <v>188</v>
      </c>
      <c r="E5" s="79">
        <v>4.1666666666666664E-2</v>
      </c>
      <c r="F5" s="80">
        <v>231.82</v>
      </c>
      <c r="G5" s="80">
        <v>232.13</v>
      </c>
      <c r="H5" s="80">
        <v>233.69</v>
      </c>
      <c r="I5" s="80">
        <v>10.83</v>
      </c>
      <c r="J5" s="80">
        <v>0</v>
      </c>
      <c r="K5" s="80">
        <v>4.12</v>
      </c>
      <c r="L5" s="80">
        <v>-0.97960000000000003</v>
      </c>
      <c r="M5" s="80">
        <v>0</v>
      </c>
      <c r="N5" s="80">
        <v>-0.67479999999999996</v>
      </c>
      <c r="O5" s="80">
        <v>2440</v>
      </c>
      <c r="P5" s="80">
        <v>0</v>
      </c>
      <c r="Q5" s="80">
        <v>620</v>
      </c>
      <c r="R5" s="81">
        <v>3060</v>
      </c>
    </row>
    <row r="6" spans="4:18" ht="27.6" thickBot="1" x14ac:dyDescent="0.35">
      <c r="D6" s="78" t="s">
        <v>188</v>
      </c>
      <c r="E6" s="79">
        <v>5.2083333333333336E-2</v>
      </c>
      <c r="F6" s="80">
        <v>232.53</v>
      </c>
      <c r="G6" s="80">
        <v>233.04</v>
      </c>
      <c r="H6" s="80">
        <v>234.47</v>
      </c>
      <c r="I6" s="80">
        <v>11.92</v>
      </c>
      <c r="J6" s="80">
        <v>0</v>
      </c>
      <c r="K6" s="80">
        <v>4.76</v>
      </c>
      <c r="L6" s="80">
        <v>-0.97350000000000003</v>
      </c>
      <c r="M6" s="80">
        <v>0</v>
      </c>
      <c r="N6" s="80">
        <v>-0.67420000000000002</v>
      </c>
      <c r="O6" s="80">
        <v>2690</v>
      </c>
      <c r="P6" s="80">
        <v>0</v>
      </c>
      <c r="Q6" s="80">
        <v>740</v>
      </c>
      <c r="R6" s="81">
        <v>3430</v>
      </c>
    </row>
    <row r="7" spans="4:18" ht="27.6" thickBot="1" x14ac:dyDescent="0.35">
      <c r="D7" s="78" t="s">
        <v>188</v>
      </c>
      <c r="E7" s="79">
        <v>6.25E-2</v>
      </c>
      <c r="F7" s="80">
        <v>233.59</v>
      </c>
      <c r="G7" s="80">
        <v>234</v>
      </c>
      <c r="H7" s="80">
        <v>235.52</v>
      </c>
      <c r="I7" s="80">
        <v>10.81</v>
      </c>
      <c r="J7" s="80">
        <v>0</v>
      </c>
      <c r="K7" s="80">
        <v>5.4</v>
      </c>
      <c r="L7" s="80">
        <v>-0.97909999999999997</v>
      </c>
      <c r="M7" s="80">
        <v>0</v>
      </c>
      <c r="N7" s="80">
        <v>-0.68510000000000004</v>
      </c>
      <c r="O7" s="80">
        <v>2460</v>
      </c>
      <c r="P7" s="80">
        <v>0</v>
      </c>
      <c r="Q7" s="80">
        <v>850</v>
      </c>
      <c r="R7" s="81">
        <v>3310</v>
      </c>
    </row>
    <row r="8" spans="4:18" ht="27.6" thickBot="1" x14ac:dyDescent="0.35">
      <c r="D8" s="78" t="s">
        <v>188</v>
      </c>
      <c r="E8" s="79">
        <v>7.2916666666666671E-2</v>
      </c>
      <c r="F8" s="80">
        <v>233.89</v>
      </c>
      <c r="G8" s="80">
        <v>234.17</v>
      </c>
      <c r="H8" s="80">
        <v>235.56</v>
      </c>
      <c r="I8" s="80">
        <v>9.4700000000000006</v>
      </c>
      <c r="J8" s="80">
        <v>0</v>
      </c>
      <c r="K8" s="80">
        <v>5.12</v>
      </c>
      <c r="L8" s="80">
        <v>-0.9647</v>
      </c>
      <c r="M8" s="80">
        <v>0</v>
      </c>
      <c r="N8" s="80">
        <v>-0.6825</v>
      </c>
      <c r="O8" s="80">
        <v>2120</v>
      </c>
      <c r="P8" s="80">
        <v>0</v>
      </c>
      <c r="Q8" s="80">
        <v>820</v>
      </c>
      <c r="R8" s="81">
        <v>2940</v>
      </c>
    </row>
    <row r="9" spans="4:18" ht="27.6" thickBot="1" x14ac:dyDescent="0.35">
      <c r="D9" s="78" t="s">
        <v>188</v>
      </c>
      <c r="E9" s="79">
        <v>8.3333333333333329E-2</v>
      </c>
      <c r="F9" s="80">
        <v>233.87</v>
      </c>
      <c r="G9" s="80">
        <v>234.15</v>
      </c>
      <c r="H9" s="80">
        <v>235.6</v>
      </c>
      <c r="I9" s="80">
        <v>8.34</v>
      </c>
      <c r="J9" s="80">
        <v>0</v>
      </c>
      <c r="K9" s="80">
        <v>4.8</v>
      </c>
      <c r="L9" s="80">
        <v>-0.96050000000000002</v>
      </c>
      <c r="M9" s="80">
        <v>0</v>
      </c>
      <c r="N9" s="80">
        <v>-0.67820000000000003</v>
      </c>
      <c r="O9" s="80">
        <v>1850</v>
      </c>
      <c r="P9" s="80">
        <v>0</v>
      </c>
      <c r="Q9" s="80">
        <v>760</v>
      </c>
      <c r="R9" s="81">
        <v>2610</v>
      </c>
    </row>
    <row r="10" spans="4:18" ht="27.6" thickBot="1" x14ac:dyDescent="0.35">
      <c r="D10" s="78" t="s">
        <v>188</v>
      </c>
      <c r="E10" s="79">
        <v>9.375E-2</v>
      </c>
      <c r="F10" s="80">
        <v>234.23</v>
      </c>
      <c r="G10" s="80">
        <v>234.36</v>
      </c>
      <c r="H10" s="80">
        <v>235.81</v>
      </c>
      <c r="I10" s="80">
        <v>7.73</v>
      </c>
      <c r="J10" s="80">
        <v>0.12</v>
      </c>
      <c r="K10" s="80">
        <v>5.27</v>
      </c>
      <c r="L10" s="80">
        <v>-0.96550000000000002</v>
      </c>
      <c r="M10" s="80">
        <v>0</v>
      </c>
      <c r="N10" s="80">
        <v>-0.68389999999999995</v>
      </c>
      <c r="O10" s="80">
        <v>1720</v>
      </c>
      <c r="P10" s="80">
        <v>0</v>
      </c>
      <c r="Q10" s="80">
        <v>840</v>
      </c>
      <c r="R10" s="81">
        <v>2560</v>
      </c>
    </row>
    <row r="11" spans="4:18" ht="27.6" thickBot="1" x14ac:dyDescent="0.35">
      <c r="D11" s="78" t="s">
        <v>188</v>
      </c>
      <c r="E11" s="79">
        <v>0.10416666666666667</v>
      </c>
      <c r="F11" s="80">
        <v>234.11</v>
      </c>
      <c r="G11" s="80">
        <v>234.3</v>
      </c>
      <c r="H11" s="80">
        <v>235.7</v>
      </c>
      <c r="I11" s="80">
        <v>8.43</v>
      </c>
      <c r="J11" s="80">
        <v>0</v>
      </c>
      <c r="K11" s="80">
        <v>5.25</v>
      </c>
      <c r="L11" s="80">
        <v>-0.95340000000000003</v>
      </c>
      <c r="M11" s="80">
        <v>0</v>
      </c>
      <c r="N11" s="80">
        <v>-0.68289999999999995</v>
      </c>
      <c r="O11" s="80">
        <v>1870</v>
      </c>
      <c r="P11" s="80">
        <v>0</v>
      </c>
      <c r="Q11" s="80">
        <v>840</v>
      </c>
      <c r="R11" s="81">
        <v>2710</v>
      </c>
    </row>
    <row r="12" spans="4:18" ht="27.6" thickBot="1" x14ac:dyDescent="0.35">
      <c r="D12" s="78" t="s">
        <v>188</v>
      </c>
      <c r="E12" s="79">
        <v>0.11458333333333333</v>
      </c>
      <c r="F12" s="80">
        <v>234.28</v>
      </c>
      <c r="G12" s="80">
        <v>234.41</v>
      </c>
      <c r="H12" s="80">
        <v>235.67</v>
      </c>
      <c r="I12" s="80">
        <v>5.19</v>
      </c>
      <c r="J12" s="80">
        <v>0</v>
      </c>
      <c r="K12" s="80">
        <v>4.83</v>
      </c>
      <c r="L12" s="80">
        <v>-0.92279999999999995</v>
      </c>
      <c r="M12" s="80">
        <v>0</v>
      </c>
      <c r="N12" s="80">
        <v>-0.6734</v>
      </c>
      <c r="O12" s="80">
        <v>1100</v>
      </c>
      <c r="P12" s="80">
        <v>0</v>
      </c>
      <c r="Q12" s="80">
        <v>760</v>
      </c>
      <c r="R12" s="81">
        <v>1860</v>
      </c>
    </row>
    <row r="13" spans="4:18" ht="27.6" thickBot="1" x14ac:dyDescent="0.35">
      <c r="D13" s="78" t="s">
        <v>188</v>
      </c>
      <c r="E13" s="79">
        <v>0.125</v>
      </c>
      <c r="F13" s="80">
        <v>235.03</v>
      </c>
      <c r="G13" s="80">
        <v>235.18</v>
      </c>
      <c r="H13" s="80">
        <v>236.4</v>
      </c>
      <c r="I13" s="80">
        <v>6.04</v>
      </c>
      <c r="J13" s="80">
        <v>0</v>
      </c>
      <c r="K13" s="80">
        <v>5.0199999999999996</v>
      </c>
      <c r="L13" s="80">
        <v>-0.91039999999999999</v>
      </c>
      <c r="M13" s="80">
        <v>0</v>
      </c>
      <c r="N13" s="80">
        <v>-0.6734</v>
      </c>
      <c r="O13" s="80">
        <v>1280</v>
      </c>
      <c r="P13" s="80">
        <v>0</v>
      </c>
      <c r="Q13" s="80">
        <v>790</v>
      </c>
      <c r="R13" s="81">
        <v>2070</v>
      </c>
    </row>
    <row r="14" spans="4:18" ht="27.6" thickBot="1" x14ac:dyDescent="0.35">
      <c r="D14" s="78" t="s">
        <v>188</v>
      </c>
      <c r="E14" s="79">
        <v>0.13541666666666666</v>
      </c>
      <c r="F14" s="80">
        <v>232.04</v>
      </c>
      <c r="G14" s="80">
        <v>232.17</v>
      </c>
      <c r="H14" s="80">
        <v>233.42</v>
      </c>
      <c r="I14" s="80">
        <v>5.67</v>
      </c>
      <c r="J14" s="80">
        <v>0</v>
      </c>
      <c r="K14" s="80">
        <v>5.43</v>
      </c>
      <c r="L14" s="80">
        <v>-0.91820000000000002</v>
      </c>
      <c r="M14" s="80">
        <v>0</v>
      </c>
      <c r="N14" s="80">
        <v>-0.69230000000000003</v>
      </c>
      <c r="O14" s="80">
        <v>1180</v>
      </c>
      <c r="P14" s="80">
        <v>0</v>
      </c>
      <c r="Q14" s="80">
        <v>870</v>
      </c>
      <c r="R14" s="81">
        <v>2040</v>
      </c>
    </row>
    <row r="15" spans="4:18" ht="27.6" thickBot="1" x14ac:dyDescent="0.35">
      <c r="D15" s="78" t="s">
        <v>188</v>
      </c>
      <c r="E15" s="79">
        <v>0.14583333333333334</v>
      </c>
      <c r="F15" s="80">
        <v>231.95</v>
      </c>
      <c r="G15" s="80">
        <v>232.17</v>
      </c>
      <c r="H15" s="80">
        <v>233.47</v>
      </c>
      <c r="I15" s="80">
        <v>5.05</v>
      </c>
      <c r="J15" s="80">
        <v>0</v>
      </c>
      <c r="K15" s="80">
        <v>4.75</v>
      </c>
      <c r="L15" s="80">
        <v>-0.92259999999999998</v>
      </c>
      <c r="M15" s="80">
        <v>0</v>
      </c>
      <c r="N15" s="80">
        <v>-0.68</v>
      </c>
      <c r="O15" s="80">
        <v>1070</v>
      </c>
      <c r="P15" s="80">
        <v>0</v>
      </c>
      <c r="Q15" s="80">
        <v>750</v>
      </c>
      <c r="R15" s="81">
        <v>1820</v>
      </c>
    </row>
    <row r="16" spans="4:18" ht="27.6" thickBot="1" x14ac:dyDescent="0.35">
      <c r="D16" s="78" t="s">
        <v>188</v>
      </c>
      <c r="E16" s="79">
        <v>0.15625</v>
      </c>
      <c r="F16" s="80">
        <v>231.19</v>
      </c>
      <c r="G16" s="80">
        <v>232.03</v>
      </c>
      <c r="H16" s="80">
        <v>233.55</v>
      </c>
      <c r="I16" s="80">
        <v>18.350000000000001</v>
      </c>
      <c r="J16" s="80">
        <v>0</v>
      </c>
      <c r="K16" s="80">
        <v>4.2699999999999996</v>
      </c>
      <c r="L16" s="80">
        <v>-0.97629999999999995</v>
      </c>
      <c r="M16" s="80">
        <v>0</v>
      </c>
      <c r="N16" s="80">
        <v>-0.68440000000000001</v>
      </c>
      <c r="O16" s="80">
        <v>3930</v>
      </c>
      <c r="P16" s="80">
        <v>0</v>
      </c>
      <c r="Q16" s="80">
        <v>680</v>
      </c>
      <c r="R16" s="81">
        <v>4610</v>
      </c>
    </row>
    <row r="17" spans="4:18" ht="27.6" thickBot="1" x14ac:dyDescent="0.35">
      <c r="D17" s="78" t="s">
        <v>188</v>
      </c>
      <c r="E17" s="79">
        <v>0.16666666666666666</v>
      </c>
      <c r="F17" s="80">
        <v>231.32</v>
      </c>
      <c r="G17" s="80">
        <v>232.08</v>
      </c>
      <c r="H17" s="80">
        <v>233.62</v>
      </c>
      <c r="I17" s="80">
        <v>17.21</v>
      </c>
      <c r="J17" s="80">
        <v>0</v>
      </c>
      <c r="K17" s="80">
        <v>5.09</v>
      </c>
      <c r="L17" s="80">
        <v>-0.99019999999999997</v>
      </c>
      <c r="M17" s="80">
        <v>0</v>
      </c>
      <c r="N17" s="80">
        <v>-0.70079999999999998</v>
      </c>
      <c r="O17" s="80">
        <v>3940</v>
      </c>
      <c r="P17" s="80">
        <v>0</v>
      </c>
      <c r="Q17" s="80">
        <v>830</v>
      </c>
      <c r="R17" s="81">
        <v>4770</v>
      </c>
    </row>
    <row r="18" spans="4:18" ht="27.6" thickBot="1" x14ac:dyDescent="0.35">
      <c r="D18" s="78" t="s">
        <v>188</v>
      </c>
      <c r="E18" s="79">
        <v>0.17708333333333334</v>
      </c>
      <c r="F18" s="80">
        <v>230.55</v>
      </c>
      <c r="G18" s="80">
        <v>231.43</v>
      </c>
      <c r="H18" s="80">
        <v>232.92</v>
      </c>
      <c r="I18" s="80">
        <v>18.57</v>
      </c>
      <c r="J18" s="80">
        <v>0.12</v>
      </c>
      <c r="K18" s="80">
        <v>5.14</v>
      </c>
      <c r="L18" s="80">
        <v>-0.98850000000000005</v>
      </c>
      <c r="M18" s="80">
        <v>0</v>
      </c>
      <c r="N18" s="80">
        <v>-0.68489999999999995</v>
      </c>
      <c r="O18" s="80">
        <v>4230</v>
      </c>
      <c r="P18" s="80">
        <v>0</v>
      </c>
      <c r="Q18" s="80">
        <v>810</v>
      </c>
      <c r="R18" s="81">
        <v>5040</v>
      </c>
    </row>
    <row r="19" spans="4:18" ht="27.6" thickBot="1" x14ac:dyDescent="0.35">
      <c r="D19" s="78" t="s">
        <v>188</v>
      </c>
      <c r="E19" s="79">
        <v>0.1875</v>
      </c>
      <c r="F19" s="80">
        <v>229.04</v>
      </c>
      <c r="G19" s="80">
        <v>230.29</v>
      </c>
      <c r="H19" s="80">
        <v>232.08</v>
      </c>
      <c r="I19" s="80">
        <v>27.97</v>
      </c>
      <c r="J19" s="80">
        <v>0</v>
      </c>
      <c r="K19" s="80">
        <v>4.8099999999999996</v>
      </c>
      <c r="L19" s="80">
        <v>-0.99509999999999998</v>
      </c>
      <c r="M19" s="80">
        <v>0</v>
      </c>
      <c r="N19" s="80">
        <v>-0.6946</v>
      </c>
      <c r="O19" s="80">
        <v>6300</v>
      </c>
      <c r="P19" s="80">
        <v>0</v>
      </c>
      <c r="Q19" s="80">
        <v>770</v>
      </c>
      <c r="R19" s="81">
        <v>7070</v>
      </c>
    </row>
    <row r="20" spans="4:18" ht="27.6" thickBot="1" x14ac:dyDescent="0.35">
      <c r="D20" s="78" t="s">
        <v>188</v>
      </c>
      <c r="E20" s="79">
        <v>0.19791666666666666</v>
      </c>
      <c r="F20" s="80">
        <v>228.13</v>
      </c>
      <c r="G20" s="80">
        <v>229.48</v>
      </c>
      <c r="H20" s="80">
        <v>231.27</v>
      </c>
      <c r="I20" s="80">
        <v>29.31</v>
      </c>
      <c r="J20" s="80">
        <v>0</v>
      </c>
      <c r="K20" s="80">
        <v>5.58</v>
      </c>
      <c r="L20" s="80">
        <v>-0.99609999999999999</v>
      </c>
      <c r="M20" s="80">
        <v>0</v>
      </c>
      <c r="N20" s="80">
        <v>-0.71260000000000001</v>
      </c>
      <c r="O20" s="80">
        <v>6660</v>
      </c>
      <c r="P20" s="80">
        <v>0</v>
      </c>
      <c r="Q20" s="80">
        <v>910</v>
      </c>
      <c r="R20" s="81">
        <v>7560</v>
      </c>
    </row>
    <row r="21" spans="4:18" ht="27.6" thickBot="1" x14ac:dyDescent="0.35">
      <c r="D21" s="78" t="s">
        <v>188</v>
      </c>
      <c r="E21" s="79">
        <v>0.20833333333333334</v>
      </c>
      <c r="F21" s="80">
        <v>228.05</v>
      </c>
      <c r="G21" s="80">
        <v>229.04</v>
      </c>
      <c r="H21" s="80">
        <v>230.64</v>
      </c>
      <c r="I21" s="80">
        <v>22.08</v>
      </c>
      <c r="J21" s="80">
        <v>0</v>
      </c>
      <c r="K21" s="80">
        <v>4.74</v>
      </c>
      <c r="L21" s="80">
        <v>-0.99109999999999998</v>
      </c>
      <c r="M21" s="80">
        <v>0</v>
      </c>
      <c r="N21" s="80">
        <v>-0.69750000000000001</v>
      </c>
      <c r="O21" s="80">
        <v>4880</v>
      </c>
      <c r="P21" s="80">
        <v>0</v>
      </c>
      <c r="Q21" s="80">
        <v>750</v>
      </c>
      <c r="R21" s="81">
        <v>5640</v>
      </c>
    </row>
    <row r="22" spans="4:18" ht="27.6" thickBot="1" x14ac:dyDescent="0.35">
      <c r="D22" s="78" t="s">
        <v>188</v>
      </c>
      <c r="E22" s="79">
        <v>0.21875</v>
      </c>
      <c r="F22" s="80">
        <v>226.81</v>
      </c>
      <c r="G22" s="80">
        <v>228.19</v>
      </c>
      <c r="H22" s="80">
        <v>229.86</v>
      </c>
      <c r="I22" s="80">
        <v>27.75</v>
      </c>
      <c r="J22" s="80">
        <v>0</v>
      </c>
      <c r="K22" s="80">
        <v>4.7</v>
      </c>
      <c r="L22" s="80">
        <v>-0.99519999999999997</v>
      </c>
      <c r="M22" s="80">
        <v>0</v>
      </c>
      <c r="N22" s="80">
        <v>-0.70279999999999998</v>
      </c>
      <c r="O22" s="80">
        <v>6180</v>
      </c>
      <c r="P22" s="80">
        <v>0</v>
      </c>
      <c r="Q22" s="80">
        <v>750</v>
      </c>
      <c r="R22" s="81">
        <v>6930</v>
      </c>
    </row>
    <row r="23" spans="4:18" ht="27.6" thickBot="1" x14ac:dyDescent="0.35">
      <c r="D23" s="78" t="s">
        <v>188</v>
      </c>
      <c r="E23" s="79">
        <v>0.22916666666666666</v>
      </c>
      <c r="F23" s="80">
        <v>227.03</v>
      </c>
      <c r="G23" s="80">
        <v>227.43</v>
      </c>
      <c r="H23" s="80">
        <v>228.75</v>
      </c>
      <c r="I23" s="80">
        <v>9.4600000000000009</v>
      </c>
      <c r="J23" s="80">
        <v>0</v>
      </c>
      <c r="K23" s="80">
        <v>5.48</v>
      </c>
      <c r="L23" s="80">
        <v>-0.94469999999999998</v>
      </c>
      <c r="M23" s="80">
        <v>0</v>
      </c>
      <c r="N23" s="80">
        <v>-0.71599999999999997</v>
      </c>
      <c r="O23" s="80">
        <v>1890</v>
      </c>
      <c r="P23" s="80">
        <v>0</v>
      </c>
      <c r="Q23" s="80">
        <v>880</v>
      </c>
      <c r="R23" s="81">
        <v>2770</v>
      </c>
    </row>
    <row r="24" spans="4:18" ht="27.6" thickBot="1" x14ac:dyDescent="0.35">
      <c r="D24" s="78" t="s">
        <v>188</v>
      </c>
      <c r="E24" s="79">
        <v>0.23958333333333334</v>
      </c>
      <c r="F24" s="80">
        <v>227.2</v>
      </c>
      <c r="G24" s="80">
        <v>227.73</v>
      </c>
      <c r="H24" s="80">
        <v>229.08</v>
      </c>
      <c r="I24" s="80">
        <v>13.77</v>
      </c>
      <c r="J24" s="80">
        <v>0</v>
      </c>
      <c r="K24" s="80">
        <v>4.6500000000000004</v>
      </c>
      <c r="L24" s="80">
        <v>-0.95379999999999998</v>
      </c>
      <c r="M24" s="80">
        <v>0</v>
      </c>
      <c r="N24" s="80">
        <v>-0.69699999999999995</v>
      </c>
      <c r="O24" s="80">
        <v>2640</v>
      </c>
      <c r="P24" s="80">
        <v>0</v>
      </c>
      <c r="Q24" s="80">
        <v>730</v>
      </c>
      <c r="R24" s="81">
        <v>3370</v>
      </c>
    </row>
    <row r="25" spans="4:18" ht="27.6" thickBot="1" x14ac:dyDescent="0.35">
      <c r="D25" s="78" t="s">
        <v>188</v>
      </c>
      <c r="E25" s="79">
        <v>0.25</v>
      </c>
      <c r="F25" s="80">
        <v>225.42</v>
      </c>
      <c r="G25" s="80">
        <v>226.58</v>
      </c>
      <c r="H25" s="80">
        <v>228.22</v>
      </c>
      <c r="I25" s="80">
        <v>23.71</v>
      </c>
      <c r="J25" s="80">
        <v>0</v>
      </c>
      <c r="K25" s="80">
        <v>4.58</v>
      </c>
      <c r="L25" s="80">
        <v>-0.99429999999999996</v>
      </c>
      <c r="M25" s="80">
        <v>0</v>
      </c>
      <c r="N25" s="80">
        <v>-0.69650000000000001</v>
      </c>
      <c r="O25" s="80">
        <v>5170</v>
      </c>
      <c r="P25" s="80">
        <v>0</v>
      </c>
      <c r="Q25" s="80">
        <v>720</v>
      </c>
      <c r="R25" s="81">
        <v>5890</v>
      </c>
    </row>
    <row r="26" spans="4:18" ht="27.6" thickBot="1" x14ac:dyDescent="0.35">
      <c r="D26" s="78" t="s">
        <v>188</v>
      </c>
      <c r="E26" s="79">
        <v>0.26041666666666669</v>
      </c>
      <c r="F26" s="80">
        <v>225.32</v>
      </c>
      <c r="G26" s="80">
        <v>226.98</v>
      </c>
      <c r="H26" s="80">
        <v>228.64</v>
      </c>
      <c r="I26" s="80">
        <v>30.22</v>
      </c>
      <c r="J26" s="80">
        <v>0.11</v>
      </c>
      <c r="K26" s="80">
        <v>5.46</v>
      </c>
      <c r="L26" s="80">
        <v>-0.99570000000000003</v>
      </c>
      <c r="M26" s="80">
        <v>0</v>
      </c>
      <c r="N26" s="80">
        <v>-0.71279999999999999</v>
      </c>
      <c r="O26" s="80">
        <v>6760</v>
      </c>
      <c r="P26" s="80">
        <v>0</v>
      </c>
      <c r="Q26" s="80">
        <v>870</v>
      </c>
      <c r="R26" s="81">
        <v>7630</v>
      </c>
    </row>
    <row r="27" spans="4:18" ht="27.6" thickBot="1" x14ac:dyDescent="0.35">
      <c r="D27" s="78" t="s">
        <v>188</v>
      </c>
      <c r="E27" s="79">
        <v>0.27083333333333331</v>
      </c>
      <c r="F27" s="80">
        <v>225.17</v>
      </c>
      <c r="G27" s="80">
        <v>226.71</v>
      </c>
      <c r="H27" s="80">
        <v>228.33</v>
      </c>
      <c r="I27" s="80">
        <v>25.99</v>
      </c>
      <c r="J27" s="80">
        <v>0</v>
      </c>
      <c r="K27" s="80">
        <v>4.4800000000000004</v>
      </c>
      <c r="L27" s="80">
        <v>-0.99470000000000003</v>
      </c>
      <c r="M27" s="80">
        <v>0</v>
      </c>
      <c r="N27" s="80">
        <v>-0.69540000000000002</v>
      </c>
      <c r="O27" s="80">
        <v>5700</v>
      </c>
      <c r="P27" s="80">
        <v>0</v>
      </c>
      <c r="Q27" s="80">
        <v>690</v>
      </c>
      <c r="R27" s="81">
        <v>6390</v>
      </c>
    </row>
    <row r="28" spans="4:18" ht="27.6" thickBot="1" x14ac:dyDescent="0.35">
      <c r="D28" s="78" t="s">
        <v>188</v>
      </c>
      <c r="E28" s="79">
        <v>0.28125</v>
      </c>
      <c r="F28" s="80">
        <v>227.13</v>
      </c>
      <c r="G28" s="80">
        <v>228.53</v>
      </c>
      <c r="H28" s="80">
        <v>229.91</v>
      </c>
      <c r="I28" s="80">
        <v>20.16</v>
      </c>
      <c r="J28" s="80">
        <v>0</v>
      </c>
      <c r="K28" s="80">
        <v>3.58</v>
      </c>
      <c r="L28" s="80">
        <v>-0.98880000000000001</v>
      </c>
      <c r="M28" s="80">
        <v>0</v>
      </c>
      <c r="N28" s="80">
        <v>-0.69030000000000002</v>
      </c>
      <c r="O28" s="80">
        <v>4520</v>
      </c>
      <c r="P28" s="80">
        <v>0</v>
      </c>
      <c r="Q28" s="80">
        <v>560</v>
      </c>
      <c r="R28" s="81">
        <v>5080</v>
      </c>
    </row>
    <row r="29" spans="4:18" ht="27.6" thickBot="1" x14ac:dyDescent="0.35">
      <c r="D29" s="78" t="s">
        <v>188</v>
      </c>
      <c r="E29" s="79">
        <v>0.29166666666666669</v>
      </c>
      <c r="F29" s="80">
        <v>227.54</v>
      </c>
      <c r="G29" s="80">
        <v>228.82</v>
      </c>
      <c r="H29" s="80">
        <v>230.43</v>
      </c>
      <c r="I29" s="80">
        <v>24.32</v>
      </c>
      <c r="J29" s="80">
        <v>0</v>
      </c>
      <c r="K29" s="80">
        <v>4.45</v>
      </c>
      <c r="L29" s="80">
        <v>-0.9919</v>
      </c>
      <c r="M29" s="80">
        <v>0</v>
      </c>
      <c r="N29" s="80">
        <v>-0.70930000000000004</v>
      </c>
      <c r="O29" s="80">
        <v>5430</v>
      </c>
      <c r="P29" s="80">
        <v>0</v>
      </c>
      <c r="Q29" s="80">
        <v>710</v>
      </c>
      <c r="R29" s="81">
        <v>6140</v>
      </c>
    </row>
    <row r="30" spans="4:18" ht="27.6" thickBot="1" x14ac:dyDescent="0.35">
      <c r="D30" s="78" t="s">
        <v>188</v>
      </c>
      <c r="E30" s="79">
        <v>0.30208333333333331</v>
      </c>
      <c r="F30" s="80">
        <v>230.43</v>
      </c>
      <c r="G30" s="80">
        <v>231.83</v>
      </c>
      <c r="H30" s="80">
        <v>233.45</v>
      </c>
      <c r="I30" s="80">
        <v>22.78</v>
      </c>
      <c r="J30" s="80">
        <v>0</v>
      </c>
      <c r="K30" s="80">
        <v>3.65</v>
      </c>
      <c r="L30" s="80">
        <v>-0.99099999999999999</v>
      </c>
      <c r="M30" s="80">
        <v>0</v>
      </c>
      <c r="N30" s="80">
        <v>-0.67889999999999995</v>
      </c>
      <c r="O30" s="80">
        <v>5170</v>
      </c>
      <c r="P30" s="80">
        <v>0</v>
      </c>
      <c r="Q30" s="80">
        <v>570</v>
      </c>
      <c r="R30" s="81">
        <v>5740</v>
      </c>
    </row>
    <row r="31" spans="4:18" ht="27.6" thickBot="1" x14ac:dyDescent="0.35">
      <c r="D31" s="78" t="s">
        <v>188</v>
      </c>
      <c r="E31" s="79">
        <v>0.3125</v>
      </c>
      <c r="F31" s="80">
        <v>232.2</v>
      </c>
      <c r="G31" s="80">
        <v>233.59</v>
      </c>
      <c r="H31" s="80">
        <v>235.31</v>
      </c>
      <c r="I31" s="80">
        <v>24.04</v>
      </c>
      <c r="J31" s="80">
        <v>0</v>
      </c>
      <c r="K31" s="80">
        <v>4.6900000000000004</v>
      </c>
      <c r="L31" s="80">
        <v>-0.99060000000000004</v>
      </c>
      <c r="M31" s="80">
        <v>0</v>
      </c>
      <c r="N31" s="80">
        <v>-0.67169999999999996</v>
      </c>
      <c r="O31" s="80">
        <v>5460</v>
      </c>
      <c r="P31" s="80">
        <v>0</v>
      </c>
      <c r="Q31" s="80">
        <v>720</v>
      </c>
      <c r="R31" s="81">
        <v>6190</v>
      </c>
    </row>
    <row r="32" spans="4:18" ht="27.6" thickBot="1" x14ac:dyDescent="0.35">
      <c r="D32" s="78" t="s">
        <v>188</v>
      </c>
      <c r="E32" s="79">
        <v>0.32291666666666669</v>
      </c>
      <c r="F32" s="80">
        <v>232.36</v>
      </c>
      <c r="G32" s="80">
        <v>233.64</v>
      </c>
      <c r="H32" s="80">
        <v>235.26</v>
      </c>
      <c r="I32" s="80">
        <v>16.54</v>
      </c>
      <c r="J32" s="80">
        <v>0</v>
      </c>
      <c r="K32" s="80">
        <v>8.39</v>
      </c>
      <c r="L32" s="80">
        <v>-0.97589999999999999</v>
      </c>
      <c r="M32" s="80">
        <v>0</v>
      </c>
      <c r="N32" s="80">
        <v>-0.77180000000000004</v>
      </c>
      <c r="O32" s="80">
        <v>3530</v>
      </c>
      <c r="P32" s="80">
        <v>0</v>
      </c>
      <c r="Q32" s="80">
        <v>1450</v>
      </c>
      <c r="R32" s="81">
        <v>4980</v>
      </c>
    </row>
    <row r="33" spans="4:18" ht="27.6" thickBot="1" x14ac:dyDescent="0.35">
      <c r="D33" s="78" t="s">
        <v>188</v>
      </c>
      <c r="E33" s="79">
        <v>0.33333333333333331</v>
      </c>
      <c r="F33" s="80">
        <v>233.07</v>
      </c>
      <c r="G33" s="80">
        <v>234.44</v>
      </c>
      <c r="H33" s="80">
        <v>235.75</v>
      </c>
      <c r="I33" s="80">
        <v>11.16</v>
      </c>
      <c r="J33" s="80">
        <v>0</v>
      </c>
      <c r="K33" s="80">
        <v>11.91</v>
      </c>
      <c r="L33" s="80">
        <v>-0.94510000000000005</v>
      </c>
      <c r="M33" s="80">
        <v>0</v>
      </c>
      <c r="N33" s="80">
        <v>-0.94120000000000004</v>
      </c>
      <c r="O33" s="80">
        <v>2420</v>
      </c>
      <c r="P33" s="80">
        <v>0</v>
      </c>
      <c r="Q33" s="80">
        <v>2510</v>
      </c>
      <c r="R33" s="81">
        <v>4930</v>
      </c>
    </row>
    <row r="34" spans="4:18" ht="27.6" thickBot="1" x14ac:dyDescent="0.35">
      <c r="D34" s="78" t="s">
        <v>188</v>
      </c>
      <c r="E34" s="79">
        <v>0.34375</v>
      </c>
      <c r="F34" s="80">
        <v>230.32</v>
      </c>
      <c r="G34" s="80">
        <v>231.89</v>
      </c>
      <c r="H34" s="80">
        <v>233.17</v>
      </c>
      <c r="I34" s="80">
        <v>12.33</v>
      </c>
      <c r="J34" s="80">
        <v>0.11</v>
      </c>
      <c r="K34" s="80">
        <v>10.029999999999999</v>
      </c>
      <c r="L34" s="80">
        <v>-0.96450000000000002</v>
      </c>
      <c r="M34" s="80">
        <v>0</v>
      </c>
      <c r="N34" s="80">
        <v>-0.9264</v>
      </c>
      <c r="O34" s="80">
        <v>2630</v>
      </c>
      <c r="P34" s="80">
        <v>0</v>
      </c>
      <c r="Q34" s="80">
        <v>2010</v>
      </c>
      <c r="R34" s="81">
        <v>4640</v>
      </c>
    </row>
    <row r="35" spans="4:18" ht="27.6" thickBot="1" x14ac:dyDescent="0.35">
      <c r="D35" s="78" t="s">
        <v>188</v>
      </c>
      <c r="E35" s="79">
        <v>0.35416666666666669</v>
      </c>
      <c r="F35" s="80">
        <v>227.55</v>
      </c>
      <c r="G35" s="80">
        <v>229.63</v>
      </c>
      <c r="H35" s="80">
        <v>230.4</v>
      </c>
      <c r="I35" s="80">
        <v>11.99</v>
      </c>
      <c r="J35" s="80">
        <v>0</v>
      </c>
      <c r="K35" s="80">
        <v>23.24</v>
      </c>
      <c r="L35" s="80">
        <v>-0.95599999999999996</v>
      </c>
      <c r="M35" s="80">
        <v>0</v>
      </c>
      <c r="N35" s="80">
        <v>-0.99419999999999997</v>
      </c>
      <c r="O35" s="80">
        <v>2550</v>
      </c>
      <c r="P35" s="80">
        <v>0</v>
      </c>
      <c r="Q35" s="80">
        <v>5270</v>
      </c>
      <c r="R35" s="81">
        <v>7820</v>
      </c>
    </row>
    <row r="36" spans="4:18" ht="27.6" thickBot="1" x14ac:dyDescent="0.35">
      <c r="D36" s="78" t="s">
        <v>188</v>
      </c>
      <c r="E36" s="79">
        <v>0.36458333333333331</v>
      </c>
      <c r="F36" s="80">
        <v>225.44</v>
      </c>
      <c r="G36" s="80">
        <v>227.65</v>
      </c>
      <c r="H36" s="80">
        <v>228.74</v>
      </c>
      <c r="I36" s="80">
        <v>15.2</v>
      </c>
      <c r="J36" s="80">
        <v>0</v>
      </c>
      <c r="K36" s="80">
        <v>21.28</v>
      </c>
      <c r="L36" s="80">
        <v>-0.97650000000000003</v>
      </c>
      <c r="M36" s="80">
        <v>0</v>
      </c>
      <c r="N36" s="80">
        <v>-0.99399999999999999</v>
      </c>
      <c r="O36" s="80">
        <v>3280</v>
      </c>
      <c r="P36" s="80">
        <v>0</v>
      </c>
      <c r="Q36" s="80">
        <v>4790</v>
      </c>
      <c r="R36" s="81">
        <v>8070</v>
      </c>
    </row>
    <row r="37" spans="4:18" ht="27.6" thickBot="1" x14ac:dyDescent="0.35">
      <c r="D37" s="78" t="s">
        <v>188</v>
      </c>
      <c r="E37" s="79">
        <v>0.375</v>
      </c>
      <c r="F37" s="80">
        <v>225.06</v>
      </c>
      <c r="G37" s="80">
        <v>226.88</v>
      </c>
      <c r="H37" s="80">
        <v>228.27</v>
      </c>
      <c r="I37" s="80">
        <v>12.58</v>
      </c>
      <c r="J37" s="80">
        <v>0</v>
      </c>
      <c r="K37" s="80">
        <v>16.86</v>
      </c>
      <c r="L37" s="80">
        <v>-0.96579999999999999</v>
      </c>
      <c r="M37" s="80">
        <v>0</v>
      </c>
      <c r="N37" s="80">
        <v>-0.99119999999999997</v>
      </c>
      <c r="O37" s="80">
        <v>2660</v>
      </c>
      <c r="P37" s="80">
        <v>0</v>
      </c>
      <c r="Q37" s="80">
        <v>3770</v>
      </c>
      <c r="R37" s="81">
        <v>6430</v>
      </c>
    </row>
    <row r="38" spans="4:18" ht="27.6" thickBot="1" x14ac:dyDescent="0.35">
      <c r="D38" s="78" t="s">
        <v>188</v>
      </c>
      <c r="E38" s="79">
        <v>0.38541666666666669</v>
      </c>
      <c r="F38" s="80">
        <v>228.01</v>
      </c>
      <c r="G38" s="80">
        <v>227.69</v>
      </c>
      <c r="H38" s="80">
        <v>231.15</v>
      </c>
      <c r="I38" s="80">
        <v>23.97</v>
      </c>
      <c r="J38" s="80">
        <v>3.15</v>
      </c>
      <c r="K38" s="80">
        <v>15.89</v>
      </c>
      <c r="L38" s="80">
        <v>0</v>
      </c>
      <c r="M38" s="80">
        <v>0</v>
      </c>
      <c r="N38" s="80">
        <v>0</v>
      </c>
      <c r="O38" s="80">
        <v>5010</v>
      </c>
      <c r="P38" s="80">
        <v>0</v>
      </c>
      <c r="Q38" s="80">
        <v>3180</v>
      </c>
      <c r="R38" s="81">
        <v>8180</v>
      </c>
    </row>
    <row r="39" spans="4:18" ht="27.6" thickBot="1" x14ac:dyDescent="0.35">
      <c r="D39" s="78" t="s">
        <v>188</v>
      </c>
      <c r="E39" s="79">
        <v>0.39583333333333331</v>
      </c>
      <c r="F39" s="80">
        <v>230.35</v>
      </c>
      <c r="G39" s="80">
        <v>229.85</v>
      </c>
      <c r="H39" s="80">
        <v>233.83</v>
      </c>
      <c r="I39" s="80">
        <v>25.92</v>
      </c>
      <c r="J39" s="80">
        <v>0</v>
      </c>
      <c r="K39" s="80">
        <v>9.09</v>
      </c>
      <c r="L39" s="80">
        <v>-0.98919999999999997</v>
      </c>
      <c r="M39" s="80">
        <v>0</v>
      </c>
      <c r="N39" s="80">
        <v>-0.88890000000000002</v>
      </c>
      <c r="O39" s="80">
        <v>5830</v>
      </c>
      <c r="P39" s="80">
        <v>0</v>
      </c>
      <c r="Q39" s="80">
        <v>1780</v>
      </c>
      <c r="R39" s="81">
        <v>7610</v>
      </c>
    </row>
    <row r="40" spans="4:18" ht="27.6" thickBot="1" x14ac:dyDescent="0.35">
      <c r="D40" s="78" t="s">
        <v>188</v>
      </c>
      <c r="E40" s="79">
        <v>0.40625</v>
      </c>
      <c r="F40" s="80">
        <v>231.14</v>
      </c>
      <c r="G40" s="80">
        <v>230.04</v>
      </c>
      <c r="H40" s="80">
        <v>233.92</v>
      </c>
      <c r="I40" s="80">
        <v>17.86</v>
      </c>
      <c r="J40" s="80">
        <v>0</v>
      </c>
      <c r="K40" s="80">
        <v>6.61</v>
      </c>
      <c r="L40" s="80">
        <v>-0.96109999999999995</v>
      </c>
      <c r="M40" s="80">
        <v>0</v>
      </c>
      <c r="N40" s="80">
        <v>-0.89359999999999995</v>
      </c>
      <c r="O40" s="80">
        <v>3770</v>
      </c>
      <c r="P40" s="80">
        <v>0</v>
      </c>
      <c r="Q40" s="80">
        <v>1340</v>
      </c>
      <c r="R40" s="81">
        <v>5110</v>
      </c>
    </row>
    <row r="41" spans="4:18" ht="27.6" thickBot="1" x14ac:dyDescent="0.35">
      <c r="D41" s="78" t="s">
        <v>188</v>
      </c>
      <c r="E41" s="79">
        <v>0.41666666666666669</v>
      </c>
      <c r="F41" s="80">
        <v>231.24</v>
      </c>
      <c r="G41" s="80">
        <v>229.77</v>
      </c>
      <c r="H41" s="80">
        <v>234.23</v>
      </c>
      <c r="I41" s="80">
        <v>16.149999999999999</v>
      </c>
      <c r="J41" s="80">
        <v>0</v>
      </c>
      <c r="K41" s="80">
        <v>7.38</v>
      </c>
      <c r="L41" s="80">
        <v>-0.95720000000000005</v>
      </c>
      <c r="M41" s="80">
        <v>0</v>
      </c>
      <c r="N41" s="80">
        <v>-0.93569999999999998</v>
      </c>
      <c r="O41" s="80">
        <v>3480</v>
      </c>
      <c r="P41" s="80">
        <v>0</v>
      </c>
      <c r="Q41" s="80">
        <v>1520</v>
      </c>
      <c r="R41" s="81">
        <v>5000</v>
      </c>
    </row>
    <row r="42" spans="4:18" ht="27.6" thickBot="1" x14ac:dyDescent="0.35">
      <c r="D42" s="78" t="s">
        <v>188</v>
      </c>
      <c r="E42" s="79">
        <v>0.42708333333333331</v>
      </c>
      <c r="F42" s="80">
        <v>231.23</v>
      </c>
      <c r="G42" s="80">
        <v>229.66</v>
      </c>
      <c r="H42" s="80">
        <v>234.22</v>
      </c>
      <c r="I42" s="80">
        <v>16.25</v>
      </c>
      <c r="J42" s="80">
        <v>0</v>
      </c>
      <c r="K42" s="80">
        <v>8.14</v>
      </c>
      <c r="L42" s="80">
        <v>-0.95740000000000003</v>
      </c>
      <c r="M42" s="80">
        <v>0</v>
      </c>
      <c r="N42" s="80">
        <v>-0.94240000000000002</v>
      </c>
      <c r="O42" s="80">
        <v>3503.1</v>
      </c>
      <c r="P42" s="80">
        <v>1.5</v>
      </c>
      <c r="Q42" s="80">
        <v>1699.2</v>
      </c>
      <c r="R42" s="81">
        <v>5046</v>
      </c>
    </row>
    <row r="43" spans="4:18" ht="27.6" thickBot="1" x14ac:dyDescent="0.35">
      <c r="D43" s="78" t="s">
        <v>188</v>
      </c>
      <c r="E43" s="79">
        <v>0.4375</v>
      </c>
      <c r="F43" s="80">
        <v>231.2</v>
      </c>
      <c r="G43" s="80">
        <v>229.57</v>
      </c>
      <c r="H43" s="80">
        <v>234.2</v>
      </c>
      <c r="I43" s="80">
        <v>16.54</v>
      </c>
      <c r="J43" s="80">
        <v>0</v>
      </c>
      <c r="K43" s="80">
        <v>8.9499999999999993</v>
      </c>
      <c r="L43" s="80">
        <v>-0.95789999999999997</v>
      </c>
      <c r="M43" s="80">
        <v>0</v>
      </c>
      <c r="N43" s="80">
        <v>-0.94840000000000002</v>
      </c>
      <c r="O43" s="80">
        <v>3569.4</v>
      </c>
      <c r="P43" s="80">
        <v>5.8</v>
      </c>
      <c r="Q43" s="80">
        <v>1889.2</v>
      </c>
      <c r="R43" s="81">
        <v>5178.2</v>
      </c>
    </row>
    <row r="44" spans="4:18" ht="27.6" thickBot="1" x14ac:dyDescent="0.35">
      <c r="D44" s="78" t="s">
        <v>188</v>
      </c>
      <c r="E44" s="79">
        <v>0.44791666666666669</v>
      </c>
      <c r="F44" s="80">
        <v>231.14</v>
      </c>
      <c r="G44" s="80">
        <v>229.49</v>
      </c>
      <c r="H44" s="80">
        <v>234.16</v>
      </c>
      <c r="I44" s="80">
        <v>17</v>
      </c>
      <c r="J44" s="80">
        <v>0</v>
      </c>
      <c r="K44" s="80">
        <v>9.8000000000000007</v>
      </c>
      <c r="L44" s="80">
        <v>-0.95879999999999999</v>
      </c>
      <c r="M44" s="80">
        <v>0</v>
      </c>
      <c r="N44" s="80">
        <v>-0.95389999999999997</v>
      </c>
      <c r="O44" s="80">
        <v>3674.7</v>
      </c>
      <c r="P44" s="80">
        <v>12.7</v>
      </c>
      <c r="Q44" s="80">
        <v>2088.1999999999998</v>
      </c>
      <c r="R44" s="81">
        <v>5388</v>
      </c>
    </row>
    <row r="45" spans="4:18" ht="27.6" thickBot="1" x14ac:dyDescent="0.35">
      <c r="D45" s="78" t="s">
        <v>188</v>
      </c>
      <c r="E45" s="79">
        <v>0.45833333333333331</v>
      </c>
      <c r="F45" s="80">
        <v>231.07</v>
      </c>
      <c r="G45" s="80">
        <v>229.43</v>
      </c>
      <c r="H45" s="80">
        <v>234.1</v>
      </c>
      <c r="I45" s="80">
        <v>17.62</v>
      </c>
      <c r="J45" s="80">
        <v>0</v>
      </c>
      <c r="K45" s="80">
        <v>10.67</v>
      </c>
      <c r="L45" s="80">
        <v>-0.95989999999999998</v>
      </c>
      <c r="M45" s="80">
        <v>0</v>
      </c>
      <c r="N45" s="80">
        <v>-0.95879999999999999</v>
      </c>
      <c r="O45" s="80">
        <v>3814.7</v>
      </c>
      <c r="P45" s="80">
        <v>21.8</v>
      </c>
      <c r="Q45" s="80">
        <v>2294.1</v>
      </c>
      <c r="R45" s="81">
        <v>5666.7</v>
      </c>
    </row>
    <row r="46" spans="4:18" ht="27.6" thickBot="1" x14ac:dyDescent="0.35">
      <c r="D46" s="78" t="s">
        <v>188</v>
      </c>
      <c r="E46" s="79">
        <v>0.46875</v>
      </c>
      <c r="F46" s="80">
        <v>230.97</v>
      </c>
      <c r="G46" s="80">
        <v>229.38</v>
      </c>
      <c r="H46" s="80">
        <v>234.02</v>
      </c>
      <c r="I46" s="80">
        <v>18.37</v>
      </c>
      <c r="J46" s="80">
        <v>0</v>
      </c>
      <c r="K46" s="80">
        <v>11.57</v>
      </c>
      <c r="L46" s="80">
        <v>-0.96130000000000004</v>
      </c>
      <c r="M46" s="80">
        <v>0</v>
      </c>
      <c r="N46" s="80">
        <v>-0.96319999999999995</v>
      </c>
      <c r="O46" s="80">
        <v>3984.9</v>
      </c>
      <c r="P46" s="80">
        <v>32.9</v>
      </c>
      <c r="Q46" s="80">
        <v>2505.3000000000002</v>
      </c>
      <c r="R46" s="81">
        <v>6005.8</v>
      </c>
    </row>
    <row r="47" spans="4:18" ht="27.6" thickBot="1" x14ac:dyDescent="0.35">
      <c r="D47" s="78" t="s">
        <v>188</v>
      </c>
      <c r="E47" s="79">
        <v>0.47916666666666669</v>
      </c>
      <c r="F47" s="80">
        <v>230.85</v>
      </c>
      <c r="G47" s="80">
        <v>229.34</v>
      </c>
      <c r="H47" s="80">
        <v>233.92</v>
      </c>
      <c r="I47" s="80">
        <v>19.23</v>
      </c>
      <c r="J47" s="80">
        <v>0</v>
      </c>
      <c r="K47" s="80">
        <v>12.48</v>
      </c>
      <c r="L47" s="80">
        <v>-0.96289999999999998</v>
      </c>
      <c r="M47" s="80">
        <v>0</v>
      </c>
      <c r="N47" s="80">
        <v>-0.96709999999999996</v>
      </c>
      <c r="O47" s="80">
        <v>4181.1000000000004</v>
      </c>
      <c r="P47" s="80">
        <v>45.6</v>
      </c>
      <c r="Q47" s="80">
        <v>2719.7</v>
      </c>
      <c r="R47" s="81">
        <v>6396.7</v>
      </c>
    </row>
    <row r="48" spans="4:18" ht="27.6" thickBot="1" x14ac:dyDescent="0.35">
      <c r="D48" s="78" t="s">
        <v>188</v>
      </c>
      <c r="E48" s="79">
        <v>0.48958333333333331</v>
      </c>
      <c r="F48" s="80">
        <v>230.71</v>
      </c>
      <c r="G48" s="80">
        <v>229.3</v>
      </c>
      <c r="H48" s="80">
        <v>233.81</v>
      </c>
      <c r="I48" s="80">
        <v>20.18</v>
      </c>
      <c r="J48" s="80">
        <v>0</v>
      </c>
      <c r="K48" s="80">
        <v>13.4</v>
      </c>
      <c r="L48" s="80">
        <v>-0.9647</v>
      </c>
      <c r="M48" s="80">
        <v>0</v>
      </c>
      <c r="N48" s="80">
        <v>-0.97050000000000003</v>
      </c>
      <c r="O48" s="80">
        <v>4398.8999999999996</v>
      </c>
      <c r="P48" s="80">
        <v>59.8</v>
      </c>
      <c r="Q48" s="80">
        <v>2935.6</v>
      </c>
      <c r="R48" s="81">
        <v>6830.6</v>
      </c>
    </row>
    <row r="49" spans="4:18" ht="27.6" thickBot="1" x14ac:dyDescent="0.35">
      <c r="D49" s="78" t="s">
        <v>188</v>
      </c>
      <c r="E49" s="79">
        <v>0.5</v>
      </c>
      <c r="F49" s="80">
        <v>230.54</v>
      </c>
      <c r="G49" s="80">
        <v>229.28</v>
      </c>
      <c r="H49" s="80">
        <v>233.68</v>
      </c>
      <c r="I49" s="80">
        <v>21.21</v>
      </c>
      <c r="J49" s="80">
        <v>0</v>
      </c>
      <c r="K49" s="80">
        <v>14.31</v>
      </c>
      <c r="L49" s="80">
        <v>-0.96660000000000001</v>
      </c>
      <c r="M49" s="80">
        <v>0</v>
      </c>
      <c r="N49" s="80">
        <v>-0.97360000000000002</v>
      </c>
      <c r="O49" s="80">
        <v>4634</v>
      </c>
      <c r="P49" s="80">
        <v>75.099999999999994</v>
      </c>
      <c r="Q49" s="80">
        <v>3151.1</v>
      </c>
      <c r="R49" s="81">
        <v>7299</v>
      </c>
    </row>
    <row r="50" spans="4:18" ht="27.6" thickBot="1" x14ac:dyDescent="0.35">
      <c r="D50" s="78" t="s">
        <v>188</v>
      </c>
      <c r="E50" s="79">
        <v>0.51041666666666663</v>
      </c>
      <c r="F50" s="80">
        <v>230.35</v>
      </c>
      <c r="G50" s="80">
        <v>229.26</v>
      </c>
      <c r="H50" s="80">
        <v>233.52</v>
      </c>
      <c r="I50" s="80">
        <v>22.3</v>
      </c>
      <c r="J50" s="80">
        <v>0</v>
      </c>
      <c r="K50" s="80">
        <v>15.21</v>
      </c>
      <c r="L50" s="80">
        <v>-0.96870000000000001</v>
      </c>
      <c r="M50" s="80">
        <v>0</v>
      </c>
      <c r="N50" s="80">
        <v>-0.97629999999999995</v>
      </c>
      <c r="O50" s="80">
        <v>4882.1000000000004</v>
      </c>
      <c r="P50" s="80">
        <v>91.3</v>
      </c>
      <c r="Q50" s="80">
        <v>3364.3</v>
      </c>
      <c r="R50" s="81">
        <v>7793.3</v>
      </c>
    </row>
    <row r="51" spans="4:18" ht="27.6" thickBot="1" x14ac:dyDescent="0.35">
      <c r="D51" s="78" t="s">
        <v>188</v>
      </c>
      <c r="E51" s="79">
        <v>0.52083333333333337</v>
      </c>
      <c r="F51" s="80">
        <v>230.13</v>
      </c>
      <c r="G51" s="80">
        <v>229.24</v>
      </c>
      <c r="H51" s="80">
        <v>233.35</v>
      </c>
      <c r="I51" s="80">
        <v>23.43</v>
      </c>
      <c r="J51" s="80">
        <v>0</v>
      </c>
      <c r="K51" s="80">
        <v>16.100000000000001</v>
      </c>
      <c r="L51" s="80">
        <v>-0.9708</v>
      </c>
      <c r="M51" s="80">
        <v>0</v>
      </c>
      <c r="N51" s="80">
        <v>-0.97870000000000001</v>
      </c>
      <c r="O51" s="80">
        <v>5138.8999999999996</v>
      </c>
      <c r="P51" s="80">
        <v>108</v>
      </c>
      <c r="Q51" s="80">
        <v>3573.3</v>
      </c>
      <c r="R51" s="81">
        <v>8304.7999999999993</v>
      </c>
    </row>
    <row r="52" spans="4:18" ht="27.6" thickBot="1" x14ac:dyDescent="0.35">
      <c r="D52" s="78" t="s">
        <v>188</v>
      </c>
      <c r="E52" s="79">
        <v>0.53125</v>
      </c>
      <c r="F52" s="80">
        <v>229.89</v>
      </c>
      <c r="G52" s="80">
        <v>229.22</v>
      </c>
      <c r="H52" s="80">
        <v>233.15</v>
      </c>
      <c r="I52" s="80">
        <v>24.58</v>
      </c>
      <c r="J52" s="80">
        <v>0</v>
      </c>
      <c r="K52" s="80">
        <v>16.96</v>
      </c>
      <c r="L52" s="80">
        <v>-0.97299999999999998</v>
      </c>
      <c r="M52" s="80">
        <v>0</v>
      </c>
      <c r="N52" s="80">
        <v>-0.98080000000000001</v>
      </c>
      <c r="O52" s="80">
        <v>5400</v>
      </c>
      <c r="P52" s="80">
        <v>125</v>
      </c>
      <c r="Q52" s="80">
        <v>3776.4</v>
      </c>
      <c r="R52" s="81">
        <v>8825</v>
      </c>
    </row>
    <row r="53" spans="4:18" ht="27.6" thickBot="1" x14ac:dyDescent="0.35">
      <c r="D53" s="78" t="s">
        <v>188</v>
      </c>
      <c r="E53" s="79">
        <v>0.54166666666666663</v>
      </c>
      <c r="F53" s="80">
        <v>229.63</v>
      </c>
      <c r="G53" s="80">
        <v>229.2</v>
      </c>
      <c r="H53" s="80">
        <v>232.94</v>
      </c>
      <c r="I53" s="80">
        <v>25.72</v>
      </c>
      <c r="J53" s="80">
        <v>0</v>
      </c>
      <c r="K53" s="80">
        <v>17.79</v>
      </c>
      <c r="L53" s="80">
        <v>-0.97509999999999997</v>
      </c>
      <c r="M53" s="80">
        <v>0</v>
      </c>
      <c r="N53" s="80">
        <v>-0.98270000000000002</v>
      </c>
      <c r="O53" s="80">
        <v>5661.1</v>
      </c>
      <c r="P53" s="80">
        <v>142</v>
      </c>
      <c r="Q53" s="80">
        <v>3971.6</v>
      </c>
      <c r="R53" s="81">
        <v>9345.2000000000007</v>
      </c>
    </row>
    <row r="54" spans="4:18" ht="27.6" thickBot="1" x14ac:dyDescent="0.35">
      <c r="D54" s="78" t="s">
        <v>188</v>
      </c>
      <c r="E54" s="79">
        <v>0.55208333333333337</v>
      </c>
      <c r="F54" s="80">
        <v>229.34</v>
      </c>
      <c r="G54" s="80">
        <v>229.17</v>
      </c>
      <c r="H54" s="80">
        <v>232.7</v>
      </c>
      <c r="I54" s="80">
        <v>26.85</v>
      </c>
      <c r="J54" s="80">
        <v>0</v>
      </c>
      <c r="K54" s="80">
        <v>18.57</v>
      </c>
      <c r="L54" s="80">
        <v>-0.97729999999999995</v>
      </c>
      <c r="M54" s="80">
        <v>0</v>
      </c>
      <c r="N54" s="80">
        <v>-0.98429999999999995</v>
      </c>
      <c r="O54" s="80">
        <v>5917.9</v>
      </c>
      <c r="P54" s="80">
        <v>158.69999999999999</v>
      </c>
      <c r="Q54" s="80">
        <v>4157</v>
      </c>
      <c r="R54" s="81">
        <v>9856.7000000000007</v>
      </c>
    </row>
    <row r="55" spans="4:18" ht="27.6" thickBot="1" x14ac:dyDescent="0.35">
      <c r="D55" s="78" t="s">
        <v>188</v>
      </c>
      <c r="E55" s="79">
        <v>0.5625</v>
      </c>
      <c r="F55" s="80">
        <v>229.02</v>
      </c>
      <c r="G55" s="80">
        <v>229.14</v>
      </c>
      <c r="H55" s="80">
        <v>232.44</v>
      </c>
      <c r="I55" s="80">
        <v>27.94</v>
      </c>
      <c r="J55" s="80">
        <v>0</v>
      </c>
      <c r="K55" s="80">
        <v>19.309999999999999</v>
      </c>
      <c r="L55" s="80">
        <v>-0.97940000000000005</v>
      </c>
      <c r="M55" s="80">
        <v>0</v>
      </c>
      <c r="N55" s="80">
        <v>-0.98580000000000001</v>
      </c>
      <c r="O55" s="80">
        <v>6166</v>
      </c>
      <c r="P55" s="80">
        <v>174.9</v>
      </c>
      <c r="Q55" s="80">
        <v>4330.8</v>
      </c>
      <c r="R55" s="81">
        <v>10351</v>
      </c>
    </row>
    <row r="56" spans="4:18" ht="27.6" thickBot="1" x14ac:dyDescent="0.35">
      <c r="D56" s="78" t="s">
        <v>188</v>
      </c>
      <c r="E56" s="79">
        <v>0.57291666666666663</v>
      </c>
      <c r="F56" s="80">
        <v>228.67</v>
      </c>
      <c r="G56" s="80">
        <v>229.11</v>
      </c>
      <c r="H56" s="80">
        <v>232.15</v>
      </c>
      <c r="I56" s="80">
        <v>28.97</v>
      </c>
      <c r="J56" s="80">
        <v>0</v>
      </c>
      <c r="K56" s="80">
        <v>19.989999999999998</v>
      </c>
      <c r="L56" s="80">
        <v>-0.98140000000000005</v>
      </c>
      <c r="M56" s="80">
        <v>0</v>
      </c>
      <c r="N56" s="80">
        <v>-0.98709999999999998</v>
      </c>
      <c r="O56" s="80">
        <v>6401.1</v>
      </c>
      <c r="P56" s="80">
        <v>190.2</v>
      </c>
      <c r="Q56" s="80">
        <v>4491.2</v>
      </c>
      <c r="R56" s="81">
        <v>10819.4</v>
      </c>
    </row>
    <row r="57" spans="4:18" ht="27.6" thickBot="1" x14ac:dyDescent="0.35">
      <c r="D57" s="78" t="s">
        <v>188</v>
      </c>
      <c r="E57" s="79">
        <v>0.58333333333333337</v>
      </c>
      <c r="F57" s="80">
        <v>228.3</v>
      </c>
      <c r="G57" s="80">
        <v>229.06</v>
      </c>
      <c r="H57" s="80">
        <v>231.84</v>
      </c>
      <c r="I57" s="80">
        <v>29.92</v>
      </c>
      <c r="J57" s="80">
        <v>0</v>
      </c>
      <c r="K57" s="80">
        <v>20.6</v>
      </c>
      <c r="L57" s="80">
        <v>-0.98329999999999995</v>
      </c>
      <c r="M57" s="80">
        <v>0</v>
      </c>
      <c r="N57" s="80">
        <v>-0.98829999999999996</v>
      </c>
      <c r="O57" s="80">
        <v>6618.9</v>
      </c>
      <c r="P57" s="80">
        <v>204.4</v>
      </c>
      <c r="Q57" s="80">
        <v>4636.2</v>
      </c>
      <c r="R57" s="81">
        <v>11253.3</v>
      </c>
    </row>
    <row r="58" spans="4:18" ht="27.6" thickBot="1" x14ac:dyDescent="0.35">
      <c r="D58" s="78" t="s">
        <v>188</v>
      </c>
      <c r="E58" s="79">
        <v>0.59375</v>
      </c>
      <c r="F58" s="80">
        <v>227.9</v>
      </c>
      <c r="G58" s="80">
        <v>229</v>
      </c>
      <c r="H58" s="80">
        <v>231.51</v>
      </c>
      <c r="I58" s="80">
        <v>30.78</v>
      </c>
      <c r="J58" s="80">
        <v>0</v>
      </c>
      <c r="K58" s="80">
        <v>21.14</v>
      </c>
      <c r="L58" s="80">
        <v>-0.98509999999999998</v>
      </c>
      <c r="M58" s="80">
        <v>0</v>
      </c>
      <c r="N58" s="80">
        <v>-0.98950000000000005</v>
      </c>
      <c r="O58" s="80">
        <v>6815.1</v>
      </c>
      <c r="P58" s="80">
        <v>217.1</v>
      </c>
      <c r="Q58" s="80">
        <v>4764</v>
      </c>
      <c r="R58" s="81">
        <v>11644.2</v>
      </c>
    </row>
    <row r="59" spans="4:18" ht="27.6" thickBot="1" x14ac:dyDescent="0.35">
      <c r="D59" s="78" t="s">
        <v>188</v>
      </c>
      <c r="E59" s="79">
        <v>0.60416666666666663</v>
      </c>
      <c r="F59" s="80">
        <v>227.48</v>
      </c>
      <c r="G59" s="80">
        <v>228.93</v>
      </c>
      <c r="H59" s="80">
        <v>231.16</v>
      </c>
      <c r="I59" s="80">
        <v>31.53</v>
      </c>
      <c r="J59" s="80">
        <v>0</v>
      </c>
      <c r="K59" s="80">
        <v>21.6</v>
      </c>
      <c r="L59" s="80">
        <v>-0.98660000000000003</v>
      </c>
      <c r="M59" s="80">
        <v>0</v>
      </c>
      <c r="N59" s="80">
        <v>-0.99060000000000004</v>
      </c>
      <c r="O59" s="80">
        <v>6985.3</v>
      </c>
      <c r="P59" s="80">
        <v>228.2</v>
      </c>
      <c r="Q59" s="80">
        <v>4872.8</v>
      </c>
      <c r="R59" s="81">
        <v>11983.3</v>
      </c>
    </row>
    <row r="60" spans="4:18" ht="27.6" thickBot="1" x14ac:dyDescent="0.35">
      <c r="D60" s="78" t="s">
        <v>188</v>
      </c>
      <c r="E60" s="79">
        <v>0.61458333333333337</v>
      </c>
      <c r="F60" s="80">
        <v>227.02</v>
      </c>
      <c r="G60" s="80">
        <v>228.84</v>
      </c>
      <c r="H60" s="80">
        <v>230.78</v>
      </c>
      <c r="I60" s="80">
        <v>32.15</v>
      </c>
      <c r="J60" s="80">
        <v>0</v>
      </c>
      <c r="K60" s="80">
        <v>21.98</v>
      </c>
      <c r="L60" s="80">
        <v>-0.98799999999999999</v>
      </c>
      <c r="M60" s="80">
        <v>0</v>
      </c>
      <c r="N60" s="80">
        <v>-0.99180000000000001</v>
      </c>
      <c r="O60" s="80">
        <v>7125.3</v>
      </c>
      <c r="P60" s="80">
        <v>237.3</v>
      </c>
      <c r="Q60" s="80">
        <v>4960.7</v>
      </c>
      <c r="R60" s="81">
        <v>12262</v>
      </c>
    </row>
    <row r="61" spans="4:18" ht="27.6" thickBot="1" x14ac:dyDescent="0.35">
      <c r="D61" s="78" t="s">
        <v>188</v>
      </c>
      <c r="E61" s="79">
        <v>0.625</v>
      </c>
      <c r="F61" s="80">
        <v>226.54</v>
      </c>
      <c r="G61" s="80">
        <v>228.73</v>
      </c>
      <c r="H61" s="80">
        <v>230.37</v>
      </c>
      <c r="I61" s="80">
        <v>32.61</v>
      </c>
      <c r="J61" s="80">
        <v>0</v>
      </c>
      <c r="K61" s="80">
        <v>22.25</v>
      </c>
      <c r="L61" s="80">
        <v>-0.98909999999999998</v>
      </c>
      <c r="M61" s="80">
        <v>0</v>
      </c>
      <c r="N61" s="80">
        <v>-0.99299999999999999</v>
      </c>
      <c r="O61" s="80">
        <v>7230.6</v>
      </c>
      <c r="P61" s="80">
        <v>244.2</v>
      </c>
      <c r="Q61" s="80">
        <v>5025.7</v>
      </c>
      <c r="R61" s="81">
        <v>12471.8</v>
      </c>
    </row>
    <row r="62" spans="4:18" ht="27.6" thickBot="1" x14ac:dyDescent="0.35">
      <c r="D62" s="78" t="s">
        <v>188</v>
      </c>
      <c r="E62" s="79">
        <v>0.63541666666666663</v>
      </c>
      <c r="F62" s="80">
        <v>226.03</v>
      </c>
      <c r="G62" s="80">
        <v>228.61</v>
      </c>
      <c r="H62" s="80">
        <v>229.94</v>
      </c>
      <c r="I62" s="80">
        <v>32.9</v>
      </c>
      <c r="J62" s="80">
        <v>0</v>
      </c>
      <c r="K62" s="80">
        <v>22.42</v>
      </c>
      <c r="L62" s="80">
        <v>-0.98980000000000001</v>
      </c>
      <c r="M62" s="80">
        <v>0</v>
      </c>
      <c r="N62" s="80">
        <v>-0.99429999999999996</v>
      </c>
      <c r="O62" s="80">
        <v>7296.9</v>
      </c>
      <c r="P62" s="80">
        <v>248.5</v>
      </c>
      <c r="Q62" s="80">
        <v>5066.1000000000004</v>
      </c>
      <c r="R62" s="81">
        <v>12604</v>
      </c>
    </row>
    <row r="63" spans="4:18" ht="27.6" thickBot="1" x14ac:dyDescent="0.35">
      <c r="D63" s="78" t="s">
        <v>188</v>
      </c>
      <c r="E63" s="79">
        <v>0.64583333333333337</v>
      </c>
      <c r="F63" s="80">
        <v>225.49</v>
      </c>
      <c r="G63" s="80">
        <v>228.46</v>
      </c>
      <c r="H63" s="80">
        <v>229.48</v>
      </c>
      <c r="I63" s="80">
        <v>33</v>
      </c>
      <c r="J63" s="80">
        <v>0</v>
      </c>
      <c r="K63" s="80">
        <v>22.48</v>
      </c>
      <c r="L63" s="80">
        <v>-0.99029999999999996</v>
      </c>
      <c r="M63" s="80">
        <v>0</v>
      </c>
      <c r="N63" s="80">
        <v>-0.99570000000000003</v>
      </c>
      <c r="O63" s="80">
        <v>7320</v>
      </c>
      <c r="P63" s="80">
        <v>250</v>
      </c>
      <c r="Q63" s="80">
        <v>5080</v>
      </c>
      <c r="R63" s="81">
        <v>12650</v>
      </c>
    </row>
    <row r="64" spans="4:18" ht="27.6" thickBot="1" x14ac:dyDescent="0.35">
      <c r="D64" s="78" t="s">
        <v>188</v>
      </c>
      <c r="E64" s="79">
        <v>0.65625</v>
      </c>
      <c r="F64" s="80">
        <v>224.1</v>
      </c>
      <c r="G64" s="80">
        <v>227.04</v>
      </c>
      <c r="H64" s="80">
        <v>228.2</v>
      </c>
      <c r="I64" s="80">
        <v>31.3</v>
      </c>
      <c r="J64" s="80">
        <v>0</v>
      </c>
      <c r="K64" s="80">
        <v>20.72</v>
      </c>
      <c r="L64" s="80">
        <v>-0.99050000000000005</v>
      </c>
      <c r="M64" s="80">
        <v>0</v>
      </c>
      <c r="N64" s="80">
        <v>-0.99690000000000001</v>
      </c>
      <c r="O64" s="80">
        <v>6920</v>
      </c>
      <c r="P64" s="80">
        <v>130</v>
      </c>
      <c r="Q64" s="80">
        <v>4620</v>
      </c>
      <c r="R64" s="81">
        <v>11660</v>
      </c>
    </row>
    <row r="65" spans="4:18" ht="27.6" thickBot="1" x14ac:dyDescent="0.35">
      <c r="D65" s="78" t="s">
        <v>188</v>
      </c>
      <c r="E65" s="79">
        <v>0.66666666666666663</v>
      </c>
      <c r="F65" s="80">
        <v>223.73</v>
      </c>
      <c r="G65" s="80">
        <v>226.25</v>
      </c>
      <c r="H65" s="80">
        <v>227.78</v>
      </c>
      <c r="I65" s="80">
        <v>27</v>
      </c>
      <c r="J65" s="80">
        <v>0</v>
      </c>
      <c r="K65" s="80">
        <v>9.27</v>
      </c>
      <c r="L65" s="80">
        <v>-0.98499999999999999</v>
      </c>
      <c r="M65" s="80">
        <v>0</v>
      </c>
      <c r="N65" s="80">
        <v>-0.95520000000000005</v>
      </c>
      <c r="O65" s="80">
        <v>5870</v>
      </c>
      <c r="P65" s="80">
        <v>0</v>
      </c>
      <c r="Q65" s="80">
        <v>1940</v>
      </c>
      <c r="R65" s="81">
        <v>7810</v>
      </c>
    </row>
    <row r="66" spans="4:18" ht="27.6" thickBot="1" x14ac:dyDescent="0.35">
      <c r="D66" s="78" t="s">
        <v>188</v>
      </c>
      <c r="E66" s="79">
        <v>0.67708333333333337</v>
      </c>
      <c r="F66" s="80">
        <v>225.89</v>
      </c>
      <c r="G66" s="80">
        <v>227.87</v>
      </c>
      <c r="H66" s="80">
        <v>229.28</v>
      </c>
      <c r="I66" s="80">
        <v>16.2</v>
      </c>
      <c r="J66" s="80">
        <v>2.41</v>
      </c>
      <c r="K66" s="80">
        <v>9.4</v>
      </c>
      <c r="L66" s="80">
        <v>-0.96220000000000006</v>
      </c>
      <c r="M66" s="80">
        <v>0</v>
      </c>
      <c r="N66" s="80">
        <v>-0.94269999999999998</v>
      </c>
      <c r="O66" s="80">
        <v>3520</v>
      </c>
      <c r="P66" s="80">
        <v>430</v>
      </c>
      <c r="Q66" s="80">
        <v>2010</v>
      </c>
      <c r="R66" s="81">
        <v>5960</v>
      </c>
    </row>
    <row r="67" spans="4:18" ht="27.6" thickBot="1" x14ac:dyDescent="0.35">
      <c r="D67" s="78" t="s">
        <v>188</v>
      </c>
      <c r="E67" s="79">
        <v>0.6875</v>
      </c>
      <c r="F67" s="80">
        <v>224.77</v>
      </c>
      <c r="G67" s="80">
        <v>226.89</v>
      </c>
      <c r="H67" s="80">
        <v>227.92</v>
      </c>
      <c r="I67" s="80">
        <v>17.97</v>
      </c>
      <c r="J67" s="80">
        <v>2.89</v>
      </c>
      <c r="K67" s="80">
        <v>18.93</v>
      </c>
      <c r="L67" s="80">
        <v>-0.97370000000000001</v>
      </c>
      <c r="M67" s="80">
        <v>-0.99890000000000001</v>
      </c>
      <c r="N67" s="80">
        <v>-0.99070000000000003</v>
      </c>
      <c r="O67" s="80">
        <v>3880</v>
      </c>
      <c r="P67" s="80">
        <v>650</v>
      </c>
      <c r="Q67" s="80">
        <v>4230</v>
      </c>
      <c r="R67" s="81">
        <v>8760</v>
      </c>
    </row>
    <row r="68" spans="4:18" ht="27.6" thickBot="1" x14ac:dyDescent="0.35">
      <c r="D68" s="78" t="s">
        <v>188</v>
      </c>
      <c r="E68" s="79">
        <v>0.69791666666666663</v>
      </c>
      <c r="F68" s="80">
        <v>223.42</v>
      </c>
      <c r="G68" s="80">
        <v>225.41</v>
      </c>
      <c r="H68" s="80">
        <v>226.94</v>
      </c>
      <c r="I68" s="80">
        <v>26.76</v>
      </c>
      <c r="J68" s="80">
        <v>0</v>
      </c>
      <c r="K68" s="80">
        <v>17.46</v>
      </c>
      <c r="L68" s="80">
        <v>-0.98419999999999996</v>
      </c>
      <c r="M68" s="80">
        <v>1</v>
      </c>
      <c r="N68" s="80">
        <v>-0.99099999999999999</v>
      </c>
      <c r="O68" s="80">
        <v>5650</v>
      </c>
      <c r="P68" s="80">
        <v>340</v>
      </c>
      <c r="Q68" s="80">
        <v>3870</v>
      </c>
      <c r="R68" s="81">
        <v>9860</v>
      </c>
    </row>
    <row r="69" spans="4:18" ht="27.6" thickBot="1" x14ac:dyDescent="0.35">
      <c r="D69" s="78" t="s">
        <v>188</v>
      </c>
      <c r="E69" s="79">
        <v>0.70833333333333337</v>
      </c>
      <c r="F69" s="80">
        <v>223.6</v>
      </c>
      <c r="G69" s="80">
        <v>225.81</v>
      </c>
      <c r="H69" s="80">
        <v>227.31</v>
      </c>
      <c r="I69" s="80">
        <v>30.35</v>
      </c>
      <c r="J69" s="80">
        <v>0</v>
      </c>
      <c r="K69" s="80">
        <v>18.79</v>
      </c>
      <c r="L69" s="80">
        <v>-0.99129999999999996</v>
      </c>
      <c r="M69" s="80">
        <v>1</v>
      </c>
      <c r="N69" s="80">
        <v>-0.99439999999999995</v>
      </c>
      <c r="O69" s="80">
        <v>6680</v>
      </c>
      <c r="P69" s="80">
        <v>340</v>
      </c>
      <c r="Q69" s="80">
        <v>4190</v>
      </c>
      <c r="R69" s="81">
        <v>11210</v>
      </c>
    </row>
    <row r="70" spans="4:18" ht="27.6" thickBot="1" x14ac:dyDescent="0.35">
      <c r="D70" s="78" t="s">
        <v>188</v>
      </c>
      <c r="E70" s="79">
        <v>0.71875</v>
      </c>
      <c r="F70" s="80">
        <v>225.38</v>
      </c>
      <c r="G70" s="80">
        <v>227.49</v>
      </c>
      <c r="H70" s="80">
        <v>228.92</v>
      </c>
      <c r="I70" s="80">
        <v>30.62</v>
      </c>
      <c r="J70" s="80">
        <v>0</v>
      </c>
      <c r="K70" s="80">
        <v>20.03</v>
      </c>
      <c r="L70" s="80">
        <v>-0.99170000000000003</v>
      </c>
      <c r="M70" s="80">
        <v>1</v>
      </c>
      <c r="N70" s="80">
        <v>-0.99319999999999997</v>
      </c>
      <c r="O70" s="80">
        <v>6800</v>
      </c>
      <c r="P70" s="80">
        <v>410</v>
      </c>
      <c r="Q70" s="80">
        <v>4370</v>
      </c>
      <c r="R70" s="81">
        <v>11580</v>
      </c>
    </row>
    <row r="71" spans="4:18" ht="27.6" thickBot="1" x14ac:dyDescent="0.35">
      <c r="D71" s="78" t="s">
        <v>188</v>
      </c>
      <c r="E71" s="79">
        <v>0.72916666666666663</v>
      </c>
      <c r="F71" s="80">
        <v>226.17</v>
      </c>
      <c r="G71" s="80">
        <v>227.63</v>
      </c>
      <c r="H71" s="80">
        <v>229.42</v>
      </c>
      <c r="I71" s="80">
        <v>22.72</v>
      </c>
      <c r="J71" s="80">
        <v>0</v>
      </c>
      <c r="K71" s="80">
        <v>9.52</v>
      </c>
      <c r="L71" s="80">
        <v>-0.98160000000000003</v>
      </c>
      <c r="M71" s="80">
        <v>1</v>
      </c>
      <c r="N71" s="80">
        <v>-0.95399999999999996</v>
      </c>
      <c r="O71" s="80">
        <v>4950</v>
      </c>
      <c r="P71" s="80">
        <v>460</v>
      </c>
      <c r="Q71" s="80">
        <v>2010</v>
      </c>
      <c r="R71" s="81">
        <v>7420</v>
      </c>
    </row>
    <row r="72" spans="4:18" ht="27.6" thickBot="1" x14ac:dyDescent="0.35">
      <c r="D72" s="78" t="s">
        <v>188</v>
      </c>
      <c r="E72" s="79">
        <v>0.73958333333333337</v>
      </c>
      <c r="F72" s="80">
        <v>226.52</v>
      </c>
      <c r="G72" s="80">
        <v>227.71</v>
      </c>
      <c r="H72" s="80">
        <v>229.33</v>
      </c>
      <c r="I72" s="80">
        <v>16.989999999999998</v>
      </c>
      <c r="J72" s="80">
        <v>0</v>
      </c>
      <c r="K72" s="80">
        <v>9.57</v>
      </c>
      <c r="L72" s="80">
        <v>-0.97550000000000003</v>
      </c>
      <c r="M72" s="80">
        <v>1</v>
      </c>
      <c r="N72" s="80">
        <v>-0.94120000000000004</v>
      </c>
      <c r="O72" s="80">
        <v>3710</v>
      </c>
      <c r="P72" s="80">
        <v>480</v>
      </c>
      <c r="Q72" s="80">
        <v>2030</v>
      </c>
      <c r="R72" s="81">
        <v>6210</v>
      </c>
    </row>
    <row r="73" spans="4:18" ht="27.6" thickBot="1" x14ac:dyDescent="0.35">
      <c r="D73" s="78" t="s">
        <v>188</v>
      </c>
      <c r="E73" s="79">
        <v>0.75</v>
      </c>
      <c r="F73" s="80">
        <v>225.72</v>
      </c>
      <c r="G73" s="80">
        <v>226.75</v>
      </c>
      <c r="H73" s="80">
        <v>228.32</v>
      </c>
      <c r="I73" s="80">
        <v>15.94</v>
      </c>
      <c r="J73" s="80">
        <v>0.85</v>
      </c>
      <c r="K73" s="80">
        <v>10.46</v>
      </c>
      <c r="L73" s="80">
        <v>-0.97050000000000003</v>
      </c>
      <c r="M73" s="80">
        <v>-0.99580000000000002</v>
      </c>
      <c r="N73" s="80">
        <v>-0.96579999999999999</v>
      </c>
      <c r="O73" s="80">
        <v>3470</v>
      </c>
      <c r="P73" s="80">
        <v>480</v>
      </c>
      <c r="Q73" s="80">
        <v>2240</v>
      </c>
      <c r="R73" s="81">
        <v>6190</v>
      </c>
    </row>
    <row r="74" spans="4:18" ht="27.6" thickBot="1" x14ac:dyDescent="0.35">
      <c r="D74" s="78" t="s">
        <v>188</v>
      </c>
      <c r="E74" s="79">
        <v>0.76041666666666663</v>
      </c>
      <c r="F74" s="80">
        <v>224.49</v>
      </c>
      <c r="G74" s="80">
        <v>225.51</v>
      </c>
      <c r="H74" s="80">
        <v>227.12</v>
      </c>
      <c r="I74" s="80">
        <v>18.09</v>
      </c>
      <c r="J74" s="80">
        <v>0</v>
      </c>
      <c r="K74" s="80">
        <v>7.36</v>
      </c>
      <c r="L74" s="80">
        <v>-0.97550000000000003</v>
      </c>
      <c r="M74" s="80">
        <v>-1</v>
      </c>
      <c r="N74" s="80">
        <v>-0.92059999999999997</v>
      </c>
      <c r="O74" s="80">
        <v>3890</v>
      </c>
      <c r="P74" s="80">
        <v>380</v>
      </c>
      <c r="Q74" s="80">
        <v>1490</v>
      </c>
      <c r="R74" s="81">
        <v>5760</v>
      </c>
    </row>
    <row r="75" spans="4:18" ht="27.6" thickBot="1" x14ac:dyDescent="0.35">
      <c r="D75" s="78" t="s">
        <v>188</v>
      </c>
      <c r="E75" s="79">
        <v>0.77083333333333337</v>
      </c>
      <c r="F75" s="80">
        <v>226.02</v>
      </c>
      <c r="G75" s="80">
        <v>227.07</v>
      </c>
      <c r="H75" s="80">
        <v>228.54</v>
      </c>
      <c r="I75" s="80">
        <v>16.559999999999999</v>
      </c>
      <c r="J75" s="80">
        <v>0</v>
      </c>
      <c r="K75" s="80">
        <v>10.96</v>
      </c>
      <c r="L75" s="80">
        <v>-0.97119999999999995</v>
      </c>
      <c r="M75" s="80">
        <v>0</v>
      </c>
      <c r="N75" s="80">
        <v>-0.93079999999999996</v>
      </c>
      <c r="O75" s="80">
        <v>3580</v>
      </c>
      <c r="P75" s="80">
        <v>210</v>
      </c>
      <c r="Q75" s="80">
        <v>2290</v>
      </c>
      <c r="R75" s="81">
        <v>6080</v>
      </c>
    </row>
    <row r="76" spans="4:18" ht="27.6" thickBot="1" x14ac:dyDescent="0.35">
      <c r="D76" s="78" t="s">
        <v>188</v>
      </c>
      <c r="E76" s="79">
        <v>0.78125</v>
      </c>
      <c r="F76" s="80">
        <v>224.32</v>
      </c>
      <c r="G76" s="80">
        <v>225.44</v>
      </c>
      <c r="H76" s="80">
        <v>227.1</v>
      </c>
      <c r="I76" s="80">
        <v>17.059999999999999</v>
      </c>
      <c r="J76" s="80">
        <v>0</v>
      </c>
      <c r="K76" s="80">
        <v>8.0399999999999991</v>
      </c>
      <c r="L76" s="80">
        <v>-0.97130000000000005</v>
      </c>
      <c r="M76" s="80">
        <v>0</v>
      </c>
      <c r="N76" s="80">
        <v>-0.91180000000000005</v>
      </c>
      <c r="O76" s="80">
        <v>3690</v>
      </c>
      <c r="P76" s="80">
        <v>10</v>
      </c>
      <c r="Q76" s="80">
        <v>1610</v>
      </c>
      <c r="R76" s="81">
        <v>5310</v>
      </c>
    </row>
    <row r="77" spans="4:18" ht="27.6" thickBot="1" x14ac:dyDescent="0.35">
      <c r="D77" s="78" t="s">
        <v>188</v>
      </c>
      <c r="E77" s="79">
        <v>0.79166666666666663</v>
      </c>
      <c r="F77" s="80">
        <v>224.73</v>
      </c>
      <c r="G77" s="80">
        <v>225.83</v>
      </c>
      <c r="H77" s="80">
        <v>227.6</v>
      </c>
      <c r="I77" s="80">
        <v>19.829999999999998</v>
      </c>
      <c r="J77" s="80">
        <v>0.05</v>
      </c>
      <c r="K77" s="80">
        <v>7.82</v>
      </c>
      <c r="L77" s="80">
        <v>-0.98480000000000001</v>
      </c>
      <c r="M77" s="80">
        <v>0.99990000000000001</v>
      </c>
      <c r="N77" s="80">
        <v>-0.9375</v>
      </c>
      <c r="O77" s="80">
        <v>4330</v>
      </c>
      <c r="P77" s="80">
        <v>390</v>
      </c>
      <c r="Q77" s="80">
        <v>1610</v>
      </c>
      <c r="R77" s="81">
        <v>6330</v>
      </c>
    </row>
    <row r="78" spans="4:18" ht="27.6" thickBot="1" x14ac:dyDescent="0.35">
      <c r="D78" s="78" t="s">
        <v>188</v>
      </c>
      <c r="E78" s="79">
        <v>0.80208333333333337</v>
      </c>
      <c r="F78" s="80">
        <v>226.36</v>
      </c>
      <c r="G78" s="80">
        <v>227.55</v>
      </c>
      <c r="H78" s="80">
        <v>228.91</v>
      </c>
      <c r="I78" s="80">
        <v>18.07</v>
      </c>
      <c r="J78" s="80">
        <v>0</v>
      </c>
      <c r="K78" s="80">
        <v>6.58</v>
      </c>
      <c r="L78" s="80">
        <v>-0.97140000000000004</v>
      </c>
      <c r="M78" s="80">
        <v>1</v>
      </c>
      <c r="N78" s="80">
        <v>-0.89600000000000002</v>
      </c>
      <c r="O78" s="80">
        <v>3940</v>
      </c>
      <c r="P78" s="80">
        <v>390</v>
      </c>
      <c r="Q78" s="80">
        <v>1320</v>
      </c>
      <c r="R78" s="81">
        <v>5650</v>
      </c>
    </row>
    <row r="79" spans="4:18" ht="27.6" thickBot="1" x14ac:dyDescent="0.35">
      <c r="D79" s="78" t="s">
        <v>188</v>
      </c>
      <c r="E79" s="79">
        <v>0.8125</v>
      </c>
      <c r="F79" s="80">
        <v>225.97</v>
      </c>
      <c r="G79" s="80">
        <v>227.13</v>
      </c>
      <c r="H79" s="80">
        <v>228.43</v>
      </c>
      <c r="I79" s="80">
        <v>16.559999999999999</v>
      </c>
      <c r="J79" s="80">
        <v>0</v>
      </c>
      <c r="K79" s="80">
        <v>6.74</v>
      </c>
      <c r="L79" s="80">
        <v>-0.96709999999999996</v>
      </c>
      <c r="M79" s="80">
        <v>1</v>
      </c>
      <c r="N79" s="80">
        <v>-0.88859999999999995</v>
      </c>
      <c r="O79" s="80">
        <v>3600</v>
      </c>
      <c r="P79" s="80">
        <v>380</v>
      </c>
      <c r="Q79" s="80">
        <v>1350</v>
      </c>
      <c r="R79" s="81">
        <v>5330</v>
      </c>
    </row>
    <row r="80" spans="4:18" ht="27.6" thickBot="1" x14ac:dyDescent="0.35">
      <c r="D80" s="78" t="s">
        <v>188</v>
      </c>
      <c r="E80" s="79">
        <v>0.82291666666666663</v>
      </c>
      <c r="F80" s="80">
        <v>226.58</v>
      </c>
      <c r="G80" s="80">
        <v>227.81</v>
      </c>
      <c r="H80" s="80">
        <v>229.1</v>
      </c>
      <c r="I80" s="80">
        <v>17.25</v>
      </c>
      <c r="J80" s="80">
        <v>0</v>
      </c>
      <c r="K80" s="80">
        <v>6.8</v>
      </c>
      <c r="L80" s="80">
        <v>-0.96830000000000005</v>
      </c>
      <c r="M80" s="80">
        <v>1</v>
      </c>
      <c r="N80" s="80">
        <v>-0.88360000000000005</v>
      </c>
      <c r="O80" s="80">
        <v>3780</v>
      </c>
      <c r="P80" s="80">
        <v>370</v>
      </c>
      <c r="Q80" s="80">
        <v>1340</v>
      </c>
      <c r="R80" s="81">
        <v>5490</v>
      </c>
    </row>
    <row r="81" spans="4:18" ht="27.6" thickBot="1" x14ac:dyDescent="0.35">
      <c r="D81" s="78" t="s">
        <v>188</v>
      </c>
      <c r="E81" s="79">
        <v>0.83333333333333337</v>
      </c>
      <c r="F81" s="80">
        <v>227.17</v>
      </c>
      <c r="G81" s="80">
        <v>228.27</v>
      </c>
      <c r="H81" s="80">
        <v>229.49</v>
      </c>
      <c r="I81" s="80">
        <v>16.37</v>
      </c>
      <c r="J81" s="80">
        <v>0.16</v>
      </c>
      <c r="K81" s="80">
        <v>7.12</v>
      </c>
      <c r="L81" s="80">
        <v>-0.96789999999999998</v>
      </c>
      <c r="M81" s="80">
        <v>1</v>
      </c>
      <c r="N81" s="80">
        <v>-0.86319999999999997</v>
      </c>
      <c r="O81" s="80">
        <v>3580</v>
      </c>
      <c r="P81" s="80">
        <v>420</v>
      </c>
      <c r="Q81" s="80">
        <v>1400</v>
      </c>
      <c r="R81" s="81">
        <v>5400</v>
      </c>
    </row>
    <row r="82" spans="4:18" ht="27.6" thickBot="1" x14ac:dyDescent="0.35">
      <c r="D82" s="78" t="s">
        <v>188</v>
      </c>
      <c r="E82" s="79">
        <v>0.84375</v>
      </c>
      <c r="F82" s="80">
        <v>228.61</v>
      </c>
      <c r="G82" s="80">
        <v>229.68</v>
      </c>
      <c r="H82" s="80">
        <v>231.08</v>
      </c>
      <c r="I82" s="80">
        <v>16.77</v>
      </c>
      <c r="J82" s="80">
        <v>0</v>
      </c>
      <c r="K82" s="80">
        <v>5.82</v>
      </c>
      <c r="L82" s="80">
        <v>-0.97330000000000005</v>
      </c>
      <c r="M82" s="80">
        <v>-1</v>
      </c>
      <c r="N82" s="80">
        <v>-0.87939999999999996</v>
      </c>
      <c r="O82" s="80">
        <v>3720</v>
      </c>
      <c r="P82" s="80">
        <v>480</v>
      </c>
      <c r="Q82" s="80">
        <v>1140</v>
      </c>
      <c r="R82" s="81">
        <v>5340</v>
      </c>
    </row>
    <row r="83" spans="4:18" ht="27.6" thickBot="1" x14ac:dyDescent="0.35">
      <c r="D83" s="78" t="s">
        <v>188</v>
      </c>
      <c r="E83" s="79">
        <v>0.85416666666666663</v>
      </c>
      <c r="F83" s="80">
        <v>230.21</v>
      </c>
      <c r="G83" s="80">
        <v>231.27</v>
      </c>
      <c r="H83" s="80">
        <v>232.62</v>
      </c>
      <c r="I83" s="80">
        <v>16.21</v>
      </c>
      <c r="J83" s="80">
        <v>0</v>
      </c>
      <c r="K83" s="80">
        <v>5.95</v>
      </c>
      <c r="L83" s="80">
        <v>-0.97689999999999999</v>
      </c>
      <c r="M83" s="80">
        <v>1</v>
      </c>
      <c r="N83" s="80">
        <v>-0.80430000000000001</v>
      </c>
      <c r="O83" s="80">
        <v>3610</v>
      </c>
      <c r="P83" s="80">
        <v>430</v>
      </c>
      <c r="Q83" s="80">
        <v>1100</v>
      </c>
      <c r="R83" s="81">
        <v>5150</v>
      </c>
    </row>
    <row r="84" spans="4:18" ht="27.6" thickBot="1" x14ac:dyDescent="0.35">
      <c r="D84" s="78" t="s">
        <v>188</v>
      </c>
      <c r="E84" s="79">
        <v>0.86458333333333337</v>
      </c>
      <c r="F84" s="80">
        <v>231.68</v>
      </c>
      <c r="G84" s="80">
        <v>232.55</v>
      </c>
      <c r="H84" s="80">
        <v>233.76</v>
      </c>
      <c r="I84" s="80">
        <v>13.93</v>
      </c>
      <c r="J84" s="80">
        <v>0</v>
      </c>
      <c r="K84" s="80">
        <v>6.04</v>
      </c>
      <c r="L84" s="80">
        <v>-0.98209999999999997</v>
      </c>
      <c r="M84" s="80">
        <v>1</v>
      </c>
      <c r="N84" s="80">
        <v>-0.74390000000000001</v>
      </c>
      <c r="O84" s="80">
        <v>3160</v>
      </c>
      <c r="P84" s="80">
        <v>370</v>
      </c>
      <c r="Q84" s="80">
        <v>1050</v>
      </c>
      <c r="R84" s="81">
        <v>4580</v>
      </c>
    </row>
    <row r="85" spans="4:18" ht="27.6" thickBot="1" x14ac:dyDescent="0.35">
      <c r="D85" s="78" t="s">
        <v>188</v>
      </c>
      <c r="E85" s="79">
        <v>0.875</v>
      </c>
      <c r="F85" s="80">
        <v>230.83</v>
      </c>
      <c r="G85" s="80">
        <v>231.72</v>
      </c>
      <c r="H85" s="80">
        <v>233.03</v>
      </c>
      <c r="I85" s="80">
        <v>14.25</v>
      </c>
      <c r="J85" s="80">
        <v>0</v>
      </c>
      <c r="K85" s="80">
        <v>5.33</v>
      </c>
      <c r="L85" s="80">
        <v>-0.98080000000000001</v>
      </c>
      <c r="M85" s="80">
        <v>1</v>
      </c>
      <c r="N85" s="80">
        <v>-0.69520000000000004</v>
      </c>
      <c r="O85" s="80">
        <v>3220</v>
      </c>
      <c r="P85" s="80">
        <v>370</v>
      </c>
      <c r="Q85" s="80">
        <v>860</v>
      </c>
      <c r="R85" s="81">
        <v>4450</v>
      </c>
    </row>
    <row r="86" spans="4:18" ht="27.6" thickBot="1" x14ac:dyDescent="0.35">
      <c r="D86" s="78" t="s">
        <v>188</v>
      </c>
      <c r="E86" s="79">
        <v>0.88541666666666663</v>
      </c>
      <c r="F86" s="80">
        <v>230.73</v>
      </c>
      <c r="G86" s="80">
        <v>231.45</v>
      </c>
      <c r="H86" s="80">
        <v>232.91</v>
      </c>
      <c r="I86" s="80">
        <v>12.88</v>
      </c>
      <c r="J86" s="80">
        <v>0</v>
      </c>
      <c r="K86" s="80">
        <v>4.7300000000000004</v>
      </c>
      <c r="L86" s="80">
        <v>-0.98560000000000003</v>
      </c>
      <c r="M86" s="80">
        <v>1</v>
      </c>
      <c r="N86" s="80">
        <v>-0.6925</v>
      </c>
      <c r="O86" s="80">
        <v>2930</v>
      </c>
      <c r="P86" s="80">
        <v>360</v>
      </c>
      <c r="Q86" s="80">
        <v>760</v>
      </c>
      <c r="R86" s="81">
        <v>4050</v>
      </c>
    </row>
    <row r="87" spans="4:18" ht="27.6" thickBot="1" x14ac:dyDescent="0.35">
      <c r="D87" s="78" t="s">
        <v>188</v>
      </c>
      <c r="E87" s="79">
        <v>0.89583333333333337</v>
      </c>
      <c r="F87" s="80">
        <v>230.52</v>
      </c>
      <c r="G87" s="80">
        <v>231.29</v>
      </c>
      <c r="H87" s="80">
        <v>232.77</v>
      </c>
      <c r="I87" s="80">
        <v>13.41</v>
      </c>
      <c r="J87" s="80">
        <v>0</v>
      </c>
      <c r="K87" s="80">
        <v>4.82</v>
      </c>
      <c r="L87" s="80">
        <v>-0.98209999999999997</v>
      </c>
      <c r="M87" s="80">
        <v>1</v>
      </c>
      <c r="N87" s="80">
        <v>-0.69869999999999999</v>
      </c>
      <c r="O87" s="80">
        <v>3020</v>
      </c>
      <c r="P87" s="80">
        <v>370</v>
      </c>
      <c r="Q87" s="80">
        <v>780</v>
      </c>
      <c r="R87" s="81">
        <v>4170</v>
      </c>
    </row>
    <row r="88" spans="4:18" ht="27.6" thickBot="1" x14ac:dyDescent="0.35">
      <c r="D88" s="78" t="s">
        <v>188</v>
      </c>
      <c r="E88" s="79">
        <v>0.90625</v>
      </c>
      <c r="F88" s="80">
        <v>230.48</v>
      </c>
      <c r="G88" s="80">
        <v>231.14</v>
      </c>
      <c r="H88" s="80">
        <v>232.54</v>
      </c>
      <c r="I88" s="80">
        <v>12.34</v>
      </c>
      <c r="J88" s="80">
        <v>0</v>
      </c>
      <c r="K88" s="80">
        <v>6.15</v>
      </c>
      <c r="L88" s="80">
        <v>-0.97950000000000004</v>
      </c>
      <c r="M88" s="80">
        <v>1</v>
      </c>
      <c r="N88" s="80">
        <v>-0.72440000000000004</v>
      </c>
      <c r="O88" s="80">
        <v>2780</v>
      </c>
      <c r="P88" s="80">
        <v>370</v>
      </c>
      <c r="Q88" s="80">
        <v>1030</v>
      </c>
      <c r="R88" s="81">
        <v>4180</v>
      </c>
    </row>
    <row r="89" spans="4:18" ht="27.6" thickBot="1" x14ac:dyDescent="0.35">
      <c r="D89" s="78" t="s">
        <v>188</v>
      </c>
      <c r="E89" s="79">
        <v>0.91666666666666663</v>
      </c>
      <c r="F89" s="80">
        <v>231.38</v>
      </c>
      <c r="G89" s="80">
        <v>231.94</v>
      </c>
      <c r="H89" s="80">
        <v>233.4</v>
      </c>
      <c r="I89" s="80">
        <v>12.77</v>
      </c>
      <c r="J89" s="80">
        <v>0.16</v>
      </c>
      <c r="K89" s="80">
        <v>5.37</v>
      </c>
      <c r="L89" s="80">
        <v>-0.9778</v>
      </c>
      <c r="M89" s="80">
        <v>-0.99990000000000001</v>
      </c>
      <c r="N89" s="80">
        <v>-0.71930000000000005</v>
      </c>
      <c r="O89" s="80">
        <v>2880</v>
      </c>
      <c r="P89" s="80">
        <v>400</v>
      </c>
      <c r="Q89" s="80">
        <v>890</v>
      </c>
      <c r="R89" s="81">
        <v>4170</v>
      </c>
    </row>
    <row r="90" spans="4:18" ht="27.6" thickBot="1" x14ac:dyDescent="0.35">
      <c r="D90" s="78" t="s">
        <v>188</v>
      </c>
      <c r="E90" s="79">
        <v>0.92708333333333337</v>
      </c>
      <c r="F90" s="80">
        <v>231.99</v>
      </c>
      <c r="G90" s="80">
        <v>232.5</v>
      </c>
      <c r="H90" s="80">
        <v>233.93</v>
      </c>
      <c r="I90" s="80">
        <v>12.68</v>
      </c>
      <c r="J90" s="80">
        <v>0</v>
      </c>
      <c r="K90" s="80">
        <v>5.28</v>
      </c>
      <c r="L90" s="80">
        <v>-0.97799999999999998</v>
      </c>
      <c r="M90" s="80">
        <v>-1</v>
      </c>
      <c r="N90" s="80">
        <v>-0.70609999999999995</v>
      </c>
      <c r="O90" s="80">
        <v>2870</v>
      </c>
      <c r="P90" s="80">
        <v>470</v>
      </c>
      <c r="Q90" s="80">
        <v>860</v>
      </c>
      <c r="R90" s="81">
        <v>4200</v>
      </c>
    </row>
    <row r="91" spans="4:18" ht="27.6" thickBot="1" x14ac:dyDescent="0.35">
      <c r="D91" s="78" t="s">
        <v>188</v>
      </c>
      <c r="E91" s="79">
        <v>0.9375</v>
      </c>
      <c r="F91" s="80">
        <v>232.08</v>
      </c>
      <c r="G91" s="80">
        <v>232.63</v>
      </c>
      <c r="H91" s="80">
        <v>234.03</v>
      </c>
      <c r="I91" s="80">
        <v>11.88</v>
      </c>
      <c r="J91" s="80">
        <v>0</v>
      </c>
      <c r="K91" s="80">
        <v>5.83</v>
      </c>
      <c r="L91" s="80">
        <v>-0.97909999999999997</v>
      </c>
      <c r="M91" s="80">
        <v>1</v>
      </c>
      <c r="N91" s="80">
        <v>-0.70320000000000005</v>
      </c>
      <c r="O91" s="80">
        <v>2690</v>
      </c>
      <c r="P91" s="80">
        <v>440</v>
      </c>
      <c r="Q91" s="80">
        <v>960</v>
      </c>
      <c r="R91" s="81">
        <v>4090</v>
      </c>
    </row>
    <row r="92" spans="4:18" ht="27.6" thickBot="1" x14ac:dyDescent="0.35">
      <c r="D92" s="78" t="s">
        <v>188</v>
      </c>
      <c r="E92" s="79">
        <v>0.94791666666666663</v>
      </c>
      <c r="F92" s="80">
        <v>232.33</v>
      </c>
      <c r="G92" s="80">
        <v>233.08</v>
      </c>
      <c r="H92" s="80">
        <v>234.46</v>
      </c>
      <c r="I92" s="80">
        <v>12.55</v>
      </c>
      <c r="J92" s="80">
        <v>0</v>
      </c>
      <c r="K92" s="80">
        <v>5.21</v>
      </c>
      <c r="L92" s="80">
        <v>-0.97719999999999996</v>
      </c>
      <c r="M92" s="80">
        <v>1</v>
      </c>
      <c r="N92" s="80">
        <v>-0.68840000000000001</v>
      </c>
      <c r="O92" s="80">
        <v>2850</v>
      </c>
      <c r="P92" s="80">
        <v>370</v>
      </c>
      <c r="Q92" s="80">
        <v>830</v>
      </c>
      <c r="R92" s="81">
        <v>4040</v>
      </c>
    </row>
    <row r="93" spans="4:18" ht="27.6" thickBot="1" x14ac:dyDescent="0.35">
      <c r="D93" s="78" t="s">
        <v>188</v>
      </c>
      <c r="E93" s="79">
        <v>0.95833333333333337</v>
      </c>
      <c r="F93" s="80">
        <v>231.49</v>
      </c>
      <c r="G93" s="80">
        <v>232.2</v>
      </c>
      <c r="H93" s="80">
        <v>233.56</v>
      </c>
      <c r="I93" s="80">
        <v>11.84</v>
      </c>
      <c r="J93" s="80">
        <v>0</v>
      </c>
      <c r="K93" s="80">
        <v>5.37</v>
      </c>
      <c r="L93" s="80">
        <v>-0.98299999999999998</v>
      </c>
      <c r="M93" s="80">
        <v>1</v>
      </c>
      <c r="N93" s="80">
        <v>-0.73919999999999997</v>
      </c>
      <c r="O93" s="80">
        <v>2690</v>
      </c>
      <c r="P93" s="80">
        <v>360</v>
      </c>
      <c r="Q93" s="80">
        <v>920</v>
      </c>
      <c r="R93" s="81">
        <v>3970</v>
      </c>
    </row>
    <row r="94" spans="4:18" ht="27.6" thickBot="1" x14ac:dyDescent="0.35">
      <c r="D94" s="78" t="s">
        <v>188</v>
      </c>
      <c r="E94" s="79">
        <v>0.96875</v>
      </c>
      <c r="F94" s="80">
        <v>232.65</v>
      </c>
      <c r="G94" s="80">
        <v>233.04</v>
      </c>
      <c r="H94" s="80">
        <v>234.48</v>
      </c>
      <c r="I94" s="80">
        <v>12.57</v>
      </c>
      <c r="J94" s="80">
        <v>0</v>
      </c>
      <c r="K94" s="80">
        <v>6.21</v>
      </c>
      <c r="L94" s="80">
        <v>-0.98140000000000005</v>
      </c>
      <c r="M94" s="80">
        <v>1</v>
      </c>
      <c r="N94" s="80">
        <v>-0.74329999999999996</v>
      </c>
      <c r="O94" s="80">
        <v>2860</v>
      </c>
      <c r="P94" s="80">
        <v>370</v>
      </c>
      <c r="Q94" s="80">
        <v>1080</v>
      </c>
      <c r="R94" s="81">
        <v>4310</v>
      </c>
    </row>
    <row r="95" spans="4:18" ht="27.6" thickBot="1" x14ac:dyDescent="0.35">
      <c r="D95" s="78" t="s">
        <v>188</v>
      </c>
      <c r="E95" s="79">
        <v>0.97916666666666663</v>
      </c>
      <c r="F95" s="80">
        <v>233.46</v>
      </c>
      <c r="G95" s="80">
        <v>233.94</v>
      </c>
      <c r="H95" s="80">
        <v>235.35</v>
      </c>
      <c r="I95" s="80">
        <v>12.44</v>
      </c>
      <c r="J95" s="80">
        <v>0</v>
      </c>
      <c r="K95" s="80">
        <v>5.46</v>
      </c>
      <c r="L95" s="80">
        <v>-0.97970000000000002</v>
      </c>
      <c r="M95" s="80">
        <v>1</v>
      </c>
      <c r="N95" s="80">
        <v>-0.72140000000000004</v>
      </c>
      <c r="O95" s="80">
        <v>2840</v>
      </c>
      <c r="P95" s="80">
        <v>380</v>
      </c>
      <c r="Q95" s="80">
        <v>920</v>
      </c>
      <c r="R95" s="81">
        <v>4140</v>
      </c>
    </row>
    <row r="96" spans="4:18" ht="27.6" thickBot="1" x14ac:dyDescent="0.35">
      <c r="D96" s="78" t="s">
        <v>188</v>
      </c>
      <c r="E96" s="79">
        <v>0.98958333333333337</v>
      </c>
      <c r="F96" s="80">
        <v>231.98</v>
      </c>
      <c r="G96" s="80">
        <v>232.4</v>
      </c>
      <c r="H96" s="80">
        <v>233.86</v>
      </c>
      <c r="I96" s="80">
        <v>11.23</v>
      </c>
      <c r="J96" s="80">
        <v>0</v>
      </c>
      <c r="K96" s="80">
        <v>5.01</v>
      </c>
      <c r="L96" s="80">
        <v>-0.98340000000000005</v>
      </c>
      <c r="M96" s="80">
        <v>0</v>
      </c>
      <c r="N96" s="80">
        <v>-0.69259999999999999</v>
      </c>
      <c r="O96" s="80">
        <v>2550</v>
      </c>
      <c r="P96" s="80">
        <v>340</v>
      </c>
      <c r="Q96" s="80">
        <v>800</v>
      </c>
      <c r="R96" s="81">
        <v>3690</v>
      </c>
    </row>
    <row r="97" spans="4:18" ht="27.6" thickBot="1" x14ac:dyDescent="0.35">
      <c r="D97" s="78" t="s">
        <v>189</v>
      </c>
      <c r="E97" s="82">
        <v>0</v>
      </c>
      <c r="F97" s="83">
        <v>232.04</v>
      </c>
      <c r="G97" s="83">
        <v>232.5</v>
      </c>
      <c r="H97" s="83">
        <v>233.98</v>
      </c>
      <c r="I97" s="83">
        <v>12.56</v>
      </c>
      <c r="J97" s="83">
        <v>0.15</v>
      </c>
      <c r="K97" s="83">
        <v>5.75</v>
      </c>
      <c r="L97" s="83">
        <v>-0.97650000000000003</v>
      </c>
      <c r="M97" s="83">
        <v>0</v>
      </c>
      <c r="N97" s="83">
        <v>-0.70079999999999998</v>
      </c>
      <c r="O97" s="83">
        <v>2840</v>
      </c>
      <c r="P97" s="83">
        <v>140</v>
      </c>
      <c r="Q97" s="83">
        <v>930</v>
      </c>
      <c r="R97" s="84">
        <v>3920</v>
      </c>
    </row>
    <row r="98" spans="4:18" x14ac:dyDescent="0.3">
      <c r="D98" s="85"/>
    </row>
  </sheetData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07940-FA45-4F61-A7C8-26F17F337BE0}">
  <dimension ref="A1:D96"/>
  <sheetViews>
    <sheetView workbookViewId="0">
      <selection activeCell="I25" sqref="I25"/>
    </sheetView>
  </sheetViews>
  <sheetFormatPr defaultRowHeight="14.4" x14ac:dyDescent="0.3"/>
  <cols>
    <col min="1" max="1" width="18.88671875" customWidth="1"/>
  </cols>
  <sheetData>
    <row r="1" spans="1:4" x14ac:dyDescent="0.3">
      <c r="A1" s="30" t="s">
        <v>159</v>
      </c>
      <c r="B1" s="30" t="s">
        <v>186</v>
      </c>
      <c r="C1" s="72" t="s">
        <v>190</v>
      </c>
      <c r="D1" s="72" t="s">
        <v>167</v>
      </c>
    </row>
    <row r="2" spans="1:4" x14ac:dyDescent="0.3">
      <c r="A2" s="45">
        <v>46177.010416666664</v>
      </c>
      <c r="B2" s="30">
        <v>0.97299999999999998</v>
      </c>
      <c r="C2">
        <v>3.56</v>
      </c>
      <c r="D2">
        <f>C2/3</f>
        <v>1.1866666666666668</v>
      </c>
    </row>
    <row r="3" spans="1:4" x14ac:dyDescent="0.3">
      <c r="A3" s="46">
        <v>46177.020833333336</v>
      </c>
      <c r="B3" s="34">
        <v>0.97799999999999998</v>
      </c>
      <c r="C3">
        <v>5.52</v>
      </c>
      <c r="D3">
        <f t="shared" ref="D3:D66" si="0">C3/3</f>
        <v>1.8399999999999999</v>
      </c>
    </row>
    <row r="4" spans="1:4" x14ac:dyDescent="0.3">
      <c r="A4" s="45">
        <v>46177.03125</v>
      </c>
      <c r="B4" s="30">
        <v>0.98399999999999999</v>
      </c>
      <c r="C4">
        <v>3.62</v>
      </c>
      <c r="D4">
        <f t="shared" si="0"/>
        <v>1.2066666666666668</v>
      </c>
    </row>
    <row r="5" spans="1:4" x14ac:dyDescent="0.3">
      <c r="A5" s="46">
        <v>46177.041666666664</v>
      </c>
      <c r="B5" s="34">
        <v>0.97699999999999998</v>
      </c>
      <c r="C5">
        <v>3.46</v>
      </c>
      <c r="D5">
        <f t="shared" si="0"/>
        <v>1.1533333333333333</v>
      </c>
    </row>
    <row r="6" spans="1:4" x14ac:dyDescent="0.3">
      <c r="A6" s="45">
        <v>46177.052083333336</v>
      </c>
      <c r="B6" s="30">
        <v>0.98399999999999999</v>
      </c>
      <c r="C6">
        <v>3.64</v>
      </c>
      <c r="D6">
        <f t="shared" si="0"/>
        <v>1.2133333333333334</v>
      </c>
    </row>
    <row r="7" spans="1:4" x14ac:dyDescent="0.3">
      <c r="A7" s="46">
        <v>46177.0625</v>
      </c>
      <c r="B7" s="34">
        <v>0.98</v>
      </c>
      <c r="C7">
        <v>3</v>
      </c>
      <c r="D7">
        <f t="shared" si="0"/>
        <v>1</v>
      </c>
    </row>
    <row r="8" spans="1:4" x14ac:dyDescent="0.3">
      <c r="A8" s="45">
        <v>46177.072916666664</v>
      </c>
      <c r="B8" s="30">
        <v>0.97199999999999998</v>
      </c>
      <c r="C8">
        <v>2.82</v>
      </c>
      <c r="D8">
        <f t="shared" si="0"/>
        <v>0.94</v>
      </c>
    </row>
    <row r="9" spans="1:4" x14ac:dyDescent="0.3">
      <c r="A9" s="46">
        <v>46177.083333333336</v>
      </c>
      <c r="B9" s="34">
        <v>0.98099999999999998</v>
      </c>
      <c r="C9">
        <v>3.02</v>
      </c>
      <c r="D9">
        <f t="shared" si="0"/>
        <v>1.0066666666666666</v>
      </c>
    </row>
    <row r="10" spans="1:4" x14ac:dyDescent="0.3">
      <c r="A10" s="45">
        <v>46177.09375</v>
      </c>
      <c r="B10" s="30">
        <v>0.98</v>
      </c>
      <c r="C10">
        <v>2.98</v>
      </c>
      <c r="D10">
        <f t="shared" si="0"/>
        <v>0.99333333333333329</v>
      </c>
    </row>
    <row r="11" spans="1:4" x14ac:dyDescent="0.3">
      <c r="A11" s="46">
        <v>46177.104166666664</v>
      </c>
      <c r="B11" s="34">
        <v>0.97899999999999998</v>
      </c>
      <c r="C11">
        <v>2.74</v>
      </c>
      <c r="D11">
        <f t="shared" si="0"/>
        <v>0.91333333333333344</v>
      </c>
    </row>
    <row r="12" spans="1:4" x14ac:dyDescent="0.3">
      <c r="A12" s="45">
        <v>46177.114583333336</v>
      </c>
      <c r="B12" s="30">
        <v>0.98099999999999998</v>
      </c>
      <c r="C12">
        <v>3.04</v>
      </c>
      <c r="D12">
        <f t="shared" si="0"/>
        <v>1.0133333333333334</v>
      </c>
    </row>
    <row r="13" spans="1:4" x14ac:dyDescent="0.3">
      <c r="A13" s="46">
        <v>46177.125</v>
      </c>
      <c r="B13" s="34">
        <v>0.97699999999999998</v>
      </c>
      <c r="C13">
        <v>2.56</v>
      </c>
      <c r="D13">
        <f t="shared" si="0"/>
        <v>0.85333333333333339</v>
      </c>
    </row>
    <row r="14" spans="1:4" x14ac:dyDescent="0.3">
      <c r="A14" s="45">
        <v>46177.135416666664</v>
      </c>
      <c r="B14" s="30">
        <v>0.97599999999999998</v>
      </c>
      <c r="C14">
        <v>2.44</v>
      </c>
      <c r="D14">
        <f t="shared" si="0"/>
        <v>0.81333333333333335</v>
      </c>
    </row>
    <row r="15" spans="1:4" x14ac:dyDescent="0.3">
      <c r="A15" s="46">
        <v>46177.145833333336</v>
      </c>
      <c r="B15" s="34">
        <v>0.98399999999999999</v>
      </c>
      <c r="C15">
        <v>2.42</v>
      </c>
      <c r="D15">
        <f t="shared" si="0"/>
        <v>0.80666666666666664</v>
      </c>
    </row>
    <row r="16" spans="1:4" x14ac:dyDescent="0.3">
      <c r="A16" s="45">
        <v>46177.15625</v>
      </c>
      <c r="B16" s="30">
        <v>0.98399999999999999</v>
      </c>
      <c r="C16">
        <v>2.5</v>
      </c>
      <c r="D16">
        <f t="shared" si="0"/>
        <v>0.83333333333333337</v>
      </c>
    </row>
    <row r="17" spans="1:4" x14ac:dyDescent="0.3">
      <c r="A17" s="46">
        <v>46177.166666666664</v>
      </c>
      <c r="B17" s="34">
        <v>0.98399999999999999</v>
      </c>
      <c r="C17">
        <v>2.42</v>
      </c>
      <c r="D17">
        <f t="shared" si="0"/>
        <v>0.80666666666666664</v>
      </c>
    </row>
    <row r="18" spans="1:4" x14ac:dyDescent="0.3">
      <c r="A18" s="45">
        <v>46177.177083333336</v>
      </c>
      <c r="B18" s="30">
        <v>0.98399999999999999</v>
      </c>
      <c r="C18">
        <v>2.44</v>
      </c>
      <c r="D18">
        <f t="shared" si="0"/>
        <v>0.81333333333333335</v>
      </c>
    </row>
    <row r="19" spans="1:4" x14ac:dyDescent="0.3">
      <c r="A19" s="46">
        <v>46177.1875</v>
      </c>
      <c r="B19" s="34">
        <v>0.98499999999999999</v>
      </c>
      <c r="C19">
        <v>2.66</v>
      </c>
      <c r="D19">
        <f t="shared" si="0"/>
        <v>0.88666666666666671</v>
      </c>
    </row>
    <row r="20" spans="1:4" x14ac:dyDescent="0.3">
      <c r="A20" s="45">
        <v>46177.197916666664</v>
      </c>
      <c r="B20" s="30">
        <v>0.98299999999999998</v>
      </c>
      <c r="C20">
        <v>2.36</v>
      </c>
      <c r="D20">
        <f t="shared" si="0"/>
        <v>0.78666666666666663</v>
      </c>
    </row>
    <row r="21" spans="1:4" x14ac:dyDescent="0.3">
      <c r="A21" s="46">
        <v>46177.208333333336</v>
      </c>
      <c r="B21" s="34">
        <v>0.97399999999999998</v>
      </c>
      <c r="C21">
        <v>2.2799999999999998</v>
      </c>
      <c r="D21">
        <f t="shared" si="0"/>
        <v>0.7599999999999999</v>
      </c>
    </row>
    <row r="22" spans="1:4" x14ac:dyDescent="0.3">
      <c r="A22" s="45">
        <v>46177.21875</v>
      </c>
      <c r="B22" s="30">
        <v>0.98299999999999998</v>
      </c>
      <c r="C22">
        <v>2.2999999999999998</v>
      </c>
      <c r="D22">
        <f t="shared" si="0"/>
        <v>0.76666666666666661</v>
      </c>
    </row>
    <row r="23" spans="1:4" x14ac:dyDescent="0.3">
      <c r="A23" s="46">
        <v>46177.229166666664</v>
      </c>
      <c r="B23" s="34">
        <v>0.97499999999999998</v>
      </c>
      <c r="C23">
        <v>2.2999999999999998</v>
      </c>
      <c r="D23">
        <f t="shared" si="0"/>
        <v>0.76666666666666661</v>
      </c>
    </row>
    <row r="24" spans="1:4" x14ac:dyDescent="0.3">
      <c r="A24" s="45">
        <v>46177.239583333336</v>
      </c>
      <c r="B24" s="30">
        <v>0.97399999999999998</v>
      </c>
      <c r="C24">
        <v>2.23</v>
      </c>
      <c r="D24">
        <f t="shared" si="0"/>
        <v>0.74333333333333329</v>
      </c>
    </row>
    <row r="25" spans="1:4" x14ac:dyDescent="0.3">
      <c r="A25" s="46">
        <v>46177.25</v>
      </c>
      <c r="B25" s="34">
        <v>0.97299999999999998</v>
      </c>
      <c r="C25">
        <v>2.2000000000000002</v>
      </c>
      <c r="D25">
        <f t="shared" si="0"/>
        <v>0.73333333333333339</v>
      </c>
    </row>
    <row r="26" spans="1:4" x14ac:dyDescent="0.3">
      <c r="A26" s="45">
        <v>46177.260416666664</v>
      </c>
      <c r="B26" s="30">
        <v>0.97399999999999998</v>
      </c>
      <c r="C26">
        <v>2.2400000000000002</v>
      </c>
      <c r="D26">
        <f t="shared" si="0"/>
        <v>0.7466666666666667</v>
      </c>
    </row>
    <row r="27" spans="1:4" x14ac:dyDescent="0.3">
      <c r="A27" s="46">
        <v>46177.270833333336</v>
      </c>
      <c r="B27" s="34">
        <v>0.97499999999999998</v>
      </c>
      <c r="C27">
        <v>2.34</v>
      </c>
      <c r="D27">
        <f t="shared" si="0"/>
        <v>0.77999999999999992</v>
      </c>
    </row>
    <row r="28" spans="1:4" x14ac:dyDescent="0.3">
      <c r="A28" s="45">
        <v>46177.28125</v>
      </c>
      <c r="B28" s="30">
        <v>0.97599999999999998</v>
      </c>
      <c r="C28">
        <v>2.48</v>
      </c>
      <c r="D28">
        <f t="shared" si="0"/>
        <v>0.82666666666666666</v>
      </c>
    </row>
    <row r="29" spans="1:4" x14ac:dyDescent="0.3">
      <c r="A29" s="46">
        <v>46177.291666666664</v>
      </c>
      <c r="B29" s="34">
        <v>0.97799999999999998</v>
      </c>
      <c r="C29">
        <v>2.68</v>
      </c>
      <c r="D29">
        <f t="shared" si="0"/>
        <v>0.89333333333333342</v>
      </c>
    </row>
    <row r="30" spans="1:4" x14ac:dyDescent="0.3">
      <c r="A30" s="45">
        <v>46177.302083333336</v>
      </c>
      <c r="B30" s="30">
        <v>0.98599999999999999</v>
      </c>
      <c r="C30">
        <v>2.86</v>
      </c>
      <c r="D30">
        <f t="shared" si="0"/>
        <v>0.95333333333333325</v>
      </c>
    </row>
    <row r="31" spans="1:4" x14ac:dyDescent="0.3">
      <c r="A31" s="46">
        <v>46177.3125</v>
      </c>
      <c r="B31" s="34">
        <v>0.98799999999999999</v>
      </c>
      <c r="C31">
        <v>3.2</v>
      </c>
      <c r="D31">
        <f t="shared" si="0"/>
        <v>1.0666666666666667</v>
      </c>
    </row>
    <row r="32" spans="1:4" x14ac:dyDescent="0.3">
      <c r="A32" s="45">
        <v>46177.322916666664</v>
      </c>
      <c r="B32" s="30">
        <v>0.99399999999999999</v>
      </c>
      <c r="C32">
        <v>3.24</v>
      </c>
      <c r="D32">
        <f t="shared" si="0"/>
        <v>1.08</v>
      </c>
    </row>
    <row r="33" spans="1:4" x14ac:dyDescent="0.3">
      <c r="A33" s="46">
        <v>46177.333333333336</v>
      </c>
      <c r="B33" s="34">
        <v>0.99399999999999999</v>
      </c>
      <c r="C33">
        <v>3.5</v>
      </c>
      <c r="D33">
        <f t="shared" si="0"/>
        <v>1.1666666666666667</v>
      </c>
    </row>
    <row r="34" spans="1:4" x14ac:dyDescent="0.3">
      <c r="A34" s="45">
        <v>46177.34375</v>
      </c>
      <c r="B34" s="30">
        <v>0.995</v>
      </c>
      <c r="C34">
        <v>3.86</v>
      </c>
      <c r="D34">
        <f t="shared" si="0"/>
        <v>1.2866666666666666</v>
      </c>
    </row>
    <row r="35" spans="1:4" x14ac:dyDescent="0.3">
      <c r="A35" s="46">
        <v>46177.354166666664</v>
      </c>
      <c r="B35" s="34">
        <v>0.98599999999999999</v>
      </c>
      <c r="C35">
        <v>2.8</v>
      </c>
      <c r="D35">
        <f t="shared" si="0"/>
        <v>0.93333333333333324</v>
      </c>
    </row>
    <row r="36" spans="1:4" x14ac:dyDescent="0.3">
      <c r="A36" s="45">
        <v>46177.364583333336</v>
      </c>
      <c r="B36" s="30">
        <v>0.97799999999999998</v>
      </c>
      <c r="C36">
        <v>1.76</v>
      </c>
      <c r="D36">
        <f t="shared" si="0"/>
        <v>0.58666666666666667</v>
      </c>
    </row>
    <row r="37" spans="1:4" x14ac:dyDescent="0.3">
      <c r="A37" s="46">
        <v>46177.375</v>
      </c>
      <c r="B37" s="34">
        <v>0.98799999999999999</v>
      </c>
      <c r="C37">
        <v>1.68</v>
      </c>
      <c r="D37">
        <f t="shared" si="0"/>
        <v>0.55999999999999994</v>
      </c>
    </row>
    <row r="38" spans="1:4" x14ac:dyDescent="0.3">
      <c r="A38" s="45">
        <v>46177.385416666664</v>
      </c>
      <c r="B38" s="30">
        <v>0.97599999999999998</v>
      </c>
      <c r="C38">
        <v>1.64</v>
      </c>
      <c r="D38">
        <f t="shared" si="0"/>
        <v>0.54666666666666663</v>
      </c>
    </row>
    <row r="39" spans="1:4" x14ac:dyDescent="0.3">
      <c r="A39" s="46">
        <v>46177.395833333336</v>
      </c>
      <c r="B39" s="34">
        <v>0.97299999999999998</v>
      </c>
      <c r="C39">
        <v>1.44</v>
      </c>
      <c r="D39">
        <f t="shared" si="0"/>
        <v>0.48</v>
      </c>
    </row>
    <row r="40" spans="1:4" x14ac:dyDescent="0.3">
      <c r="A40" s="45">
        <v>46177.40625</v>
      </c>
      <c r="B40" s="30">
        <v>0.97899999999999998</v>
      </c>
      <c r="C40">
        <v>1.9</v>
      </c>
      <c r="D40">
        <f t="shared" si="0"/>
        <v>0.6333333333333333</v>
      </c>
    </row>
    <row r="41" spans="1:4" x14ac:dyDescent="0.3">
      <c r="A41" s="46">
        <v>46177.416666666664</v>
      </c>
      <c r="B41" s="34">
        <v>0.97399999999999998</v>
      </c>
      <c r="C41">
        <v>1.52</v>
      </c>
      <c r="D41">
        <f t="shared" si="0"/>
        <v>0.50666666666666671</v>
      </c>
    </row>
    <row r="42" spans="1:4" x14ac:dyDescent="0.3">
      <c r="A42" s="45">
        <v>46177.427083333336</v>
      </c>
      <c r="B42" s="30">
        <v>0.97399999999999998</v>
      </c>
      <c r="C42">
        <v>1.48</v>
      </c>
      <c r="D42">
        <f t="shared" si="0"/>
        <v>0.49333333333333335</v>
      </c>
    </row>
    <row r="43" spans="1:4" x14ac:dyDescent="0.3">
      <c r="A43" s="46">
        <v>46177.4375</v>
      </c>
      <c r="B43" s="34">
        <v>0.97299999999999998</v>
      </c>
      <c r="C43">
        <v>1.42</v>
      </c>
      <c r="D43">
        <f t="shared" si="0"/>
        <v>0.47333333333333333</v>
      </c>
    </row>
    <row r="44" spans="1:4" x14ac:dyDescent="0.3">
      <c r="A44" s="45">
        <v>46177.447916666664</v>
      </c>
      <c r="B44" s="30">
        <v>0.97199999999999998</v>
      </c>
      <c r="C44">
        <v>1.4</v>
      </c>
      <c r="D44">
        <f t="shared" si="0"/>
        <v>0.46666666666666662</v>
      </c>
    </row>
    <row r="45" spans="1:4" x14ac:dyDescent="0.3">
      <c r="A45" s="46">
        <v>46177.458333333336</v>
      </c>
      <c r="B45" s="34">
        <v>0.97099999999999997</v>
      </c>
      <c r="C45">
        <v>1.34</v>
      </c>
      <c r="D45">
        <f t="shared" si="0"/>
        <v>0.44666666666666671</v>
      </c>
    </row>
    <row r="46" spans="1:4" x14ac:dyDescent="0.3">
      <c r="A46" s="45">
        <v>46177.46875</v>
      </c>
      <c r="B46" s="30">
        <v>0.97</v>
      </c>
      <c r="C46">
        <v>1.28</v>
      </c>
      <c r="D46">
        <f t="shared" si="0"/>
        <v>0.42666666666666669</v>
      </c>
    </row>
    <row r="47" spans="1:4" x14ac:dyDescent="0.3">
      <c r="A47" s="46">
        <v>46177.479166666664</v>
      </c>
      <c r="B47" s="34">
        <v>0.95499999999999996</v>
      </c>
      <c r="C47">
        <v>1.28</v>
      </c>
      <c r="D47">
        <f t="shared" si="0"/>
        <v>0.42666666666666669</v>
      </c>
    </row>
    <row r="48" spans="1:4" x14ac:dyDescent="0.3">
      <c r="A48" s="45">
        <v>46177.489583333336</v>
      </c>
      <c r="B48" s="30">
        <v>0.97199999999999998</v>
      </c>
      <c r="C48">
        <v>1.4</v>
      </c>
      <c r="D48">
        <f t="shared" si="0"/>
        <v>0.46666666666666662</v>
      </c>
    </row>
    <row r="49" spans="1:4" x14ac:dyDescent="0.3">
      <c r="A49" s="46">
        <v>46177.5</v>
      </c>
      <c r="B49" s="34">
        <v>0.95799999999999996</v>
      </c>
      <c r="C49">
        <v>1.38</v>
      </c>
      <c r="D49">
        <f t="shared" si="0"/>
        <v>0.45999999999999996</v>
      </c>
    </row>
    <row r="50" spans="1:4" x14ac:dyDescent="0.3">
      <c r="A50" s="45">
        <v>46177.510416666664</v>
      </c>
      <c r="B50" s="30">
        <v>0.95799999999999996</v>
      </c>
      <c r="C50">
        <v>1.38</v>
      </c>
      <c r="D50">
        <f t="shared" si="0"/>
        <v>0.45999999999999996</v>
      </c>
    </row>
    <row r="51" spans="1:4" x14ac:dyDescent="0.3">
      <c r="A51" s="46">
        <v>46177.520833333336</v>
      </c>
      <c r="B51" s="34">
        <v>0.97399999999999998</v>
      </c>
      <c r="C51">
        <v>1.48</v>
      </c>
      <c r="D51">
        <f t="shared" si="0"/>
        <v>0.49333333333333335</v>
      </c>
    </row>
    <row r="52" spans="1:4" x14ac:dyDescent="0.3">
      <c r="A52" s="45">
        <v>46177.53125</v>
      </c>
      <c r="B52" s="30">
        <v>0.97399999999999998</v>
      </c>
      <c r="C52">
        <v>1.52</v>
      </c>
      <c r="D52">
        <f t="shared" si="0"/>
        <v>0.50666666666666671</v>
      </c>
    </row>
    <row r="53" spans="1:4" x14ac:dyDescent="0.3">
      <c r="A53" s="46">
        <v>46177.541666666664</v>
      </c>
      <c r="B53" s="34">
        <v>0.97899999999999998</v>
      </c>
      <c r="C53">
        <v>1.88</v>
      </c>
      <c r="D53">
        <f t="shared" si="0"/>
        <v>0.62666666666666659</v>
      </c>
    </row>
    <row r="54" spans="1:4" x14ac:dyDescent="0.3">
      <c r="A54" s="45">
        <v>46177.552083333336</v>
      </c>
      <c r="B54" s="30">
        <v>0.97699999999999998</v>
      </c>
      <c r="C54">
        <v>1.7</v>
      </c>
      <c r="D54">
        <f t="shared" si="0"/>
        <v>0.56666666666666665</v>
      </c>
    </row>
    <row r="55" spans="1:4" x14ac:dyDescent="0.3">
      <c r="A55" s="46">
        <v>46177.5625</v>
      </c>
      <c r="B55" s="34">
        <v>0.98</v>
      </c>
      <c r="C55">
        <v>1.94</v>
      </c>
      <c r="D55">
        <f t="shared" si="0"/>
        <v>0.64666666666666661</v>
      </c>
    </row>
    <row r="56" spans="1:4" x14ac:dyDescent="0.3">
      <c r="A56" s="45">
        <v>46177.572916666664</v>
      </c>
      <c r="B56" s="30">
        <v>0.97499999999999998</v>
      </c>
      <c r="C56">
        <v>1.58</v>
      </c>
      <c r="D56">
        <f t="shared" si="0"/>
        <v>0.52666666666666673</v>
      </c>
    </row>
    <row r="57" spans="1:4" x14ac:dyDescent="0.3">
      <c r="A57" s="46">
        <v>46177.583333333336</v>
      </c>
      <c r="B57" s="34">
        <v>0.98899999999999999</v>
      </c>
      <c r="C57">
        <v>1.74</v>
      </c>
      <c r="D57">
        <f t="shared" si="0"/>
        <v>0.57999999999999996</v>
      </c>
    </row>
    <row r="58" spans="1:4" x14ac:dyDescent="0.3">
      <c r="A58" s="45">
        <v>46177.59375</v>
      </c>
      <c r="B58" s="30">
        <v>0.99099999999999999</v>
      </c>
      <c r="C58">
        <v>2.14</v>
      </c>
      <c r="D58">
        <f t="shared" si="0"/>
        <v>0.71333333333333337</v>
      </c>
    </row>
    <row r="59" spans="1:4" x14ac:dyDescent="0.3">
      <c r="A59" s="46">
        <v>46177.604166666664</v>
      </c>
      <c r="B59" s="34">
        <v>0.98099999999999998</v>
      </c>
      <c r="C59">
        <v>1.27</v>
      </c>
      <c r="D59">
        <f t="shared" si="0"/>
        <v>0.42333333333333334</v>
      </c>
    </row>
    <row r="60" spans="1:4" x14ac:dyDescent="0.3">
      <c r="A60" s="45">
        <v>46177.614583333336</v>
      </c>
      <c r="B60" s="30">
        <v>0.98099999999999998</v>
      </c>
      <c r="C60">
        <v>1.04</v>
      </c>
      <c r="D60">
        <f t="shared" si="0"/>
        <v>0.34666666666666668</v>
      </c>
    </row>
    <row r="61" spans="1:4" x14ac:dyDescent="0.3">
      <c r="A61" s="46">
        <v>46177.625</v>
      </c>
      <c r="B61" s="34">
        <v>0.98199999999999998</v>
      </c>
      <c r="C61">
        <v>2.2200000000000002</v>
      </c>
      <c r="D61">
        <f t="shared" si="0"/>
        <v>0.7400000000000001</v>
      </c>
    </row>
    <row r="62" spans="1:4" x14ac:dyDescent="0.3">
      <c r="A62" s="45">
        <v>46177.635416666664</v>
      </c>
      <c r="B62" s="30">
        <v>0.98199999999999998</v>
      </c>
      <c r="C62">
        <v>2.14</v>
      </c>
      <c r="D62">
        <f t="shared" si="0"/>
        <v>0.71333333333333337</v>
      </c>
    </row>
    <row r="63" spans="1:4" x14ac:dyDescent="0.3">
      <c r="A63" s="46">
        <v>46177.645833333336</v>
      </c>
      <c r="B63" s="34">
        <v>0.98099999999999998</v>
      </c>
      <c r="C63">
        <v>2.02</v>
      </c>
      <c r="D63">
        <f t="shared" si="0"/>
        <v>0.67333333333333334</v>
      </c>
    </row>
    <row r="64" spans="1:4" x14ac:dyDescent="0.3">
      <c r="A64" s="45">
        <v>46177.65625</v>
      </c>
      <c r="B64" s="30">
        <v>0.98199999999999998</v>
      </c>
      <c r="C64">
        <v>2.04</v>
      </c>
      <c r="D64">
        <f t="shared" si="0"/>
        <v>0.68</v>
      </c>
    </row>
    <row r="65" spans="1:4" x14ac:dyDescent="0.3">
      <c r="A65" s="46">
        <v>46177.666666666664</v>
      </c>
      <c r="B65" s="34">
        <v>0.98099999999999998</v>
      </c>
      <c r="C65">
        <v>2.12</v>
      </c>
      <c r="D65">
        <f t="shared" si="0"/>
        <v>0.70666666666666667</v>
      </c>
    </row>
    <row r="66" spans="1:4" x14ac:dyDescent="0.3">
      <c r="A66" s="45">
        <v>46177.677083333336</v>
      </c>
      <c r="B66" s="30">
        <v>0.99099999999999999</v>
      </c>
      <c r="C66">
        <v>2.2799999999999998</v>
      </c>
      <c r="D66">
        <f t="shared" si="0"/>
        <v>0.7599999999999999</v>
      </c>
    </row>
    <row r="67" spans="1:4" x14ac:dyDescent="0.3">
      <c r="A67" s="46">
        <v>46177.6875</v>
      </c>
      <c r="B67" s="34">
        <v>0.98099999999999998</v>
      </c>
      <c r="C67">
        <v>2.06</v>
      </c>
      <c r="D67">
        <f t="shared" ref="D67:D96" si="1">C67/3</f>
        <v>0.68666666666666665</v>
      </c>
    </row>
    <row r="68" spans="1:4" x14ac:dyDescent="0.3">
      <c r="A68" s="45">
        <v>46177.697916666664</v>
      </c>
      <c r="B68" s="30">
        <v>0.99199999999999999</v>
      </c>
      <c r="C68">
        <v>2.34</v>
      </c>
      <c r="D68">
        <f t="shared" si="1"/>
        <v>0.77999999999999992</v>
      </c>
    </row>
    <row r="69" spans="1:4" x14ac:dyDescent="0.3">
      <c r="A69" s="46">
        <v>46177.708333333336</v>
      </c>
      <c r="B69" s="34">
        <v>0.97899999999999998</v>
      </c>
      <c r="C69">
        <v>1.86</v>
      </c>
      <c r="D69">
        <f t="shared" si="1"/>
        <v>0.62</v>
      </c>
    </row>
    <row r="70" spans="1:4" x14ac:dyDescent="0.3">
      <c r="A70" s="45">
        <v>46177.71875</v>
      </c>
      <c r="B70" s="30">
        <v>0.98</v>
      </c>
      <c r="C70">
        <v>1.94</v>
      </c>
      <c r="D70">
        <f t="shared" si="1"/>
        <v>0.64666666666666661</v>
      </c>
    </row>
    <row r="71" spans="1:4" x14ac:dyDescent="0.3">
      <c r="A71" s="46">
        <v>46177.729166666664</v>
      </c>
      <c r="B71" s="34">
        <v>0.99099999999999999</v>
      </c>
      <c r="C71">
        <v>2.86</v>
      </c>
      <c r="D71">
        <f t="shared" si="1"/>
        <v>0.95333333333333325</v>
      </c>
    </row>
    <row r="72" spans="1:4" x14ac:dyDescent="0.3">
      <c r="A72" s="45">
        <v>46177.739583333336</v>
      </c>
      <c r="B72" s="30">
        <v>0.99099999999999999</v>
      </c>
      <c r="C72">
        <v>2.1</v>
      </c>
      <c r="D72">
        <f t="shared" si="1"/>
        <v>0.70000000000000007</v>
      </c>
    </row>
    <row r="73" spans="1:4" x14ac:dyDescent="0.3">
      <c r="A73" s="46">
        <v>46177.75</v>
      </c>
      <c r="B73" s="34">
        <v>0.99099999999999999</v>
      </c>
      <c r="C73">
        <v>2.16</v>
      </c>
      <c r="D73">
        <f t="shared" si="1"/>
        <v>0.72000000000000008</v>
      </c>
    </row>
    <row r="74" spans="1:4" x14ac:dyDescent="0.3">
      <c r="A74" s="45">
        <v>46177.760416666664</v>
      </c>
      <c r="B74" s="30">
        <v>0.98399999999999999</v>
      </c>
      <c r="C74">
        <v>2.44</v>
      </c>
      <c r="D74">
        <f t="shared" si="1"/>
        <v>0.81333333333333335</v>
      </c>
    </row>
    <row r="75" spans="1:4" x14ac:dyDescent="0.3">
      <c r="A75" s="46">
        <v>46177.770833333336</v>
      </c>
      <c r="B75" s="34">
        <v>0.98599999999999999</v>
      </c>
      <c r="C75">
        <v>2.86</v>
      </c>
      <c r="D75">
        <f t="shared" si="1"/>
        <v>0.95333333333333325</v>
      </c>
    </row>
    <row r="76" spans="1:4" x14ac:dyDescent="0.3">
      <c r="A76" s="45">
        <v>46177.78125</v>
      </c>
      <c r="B76" s="30">
        <v>0.98499999999999999</v>
      </c>
      <c r="C76">
        <v>2.56</v>
      </c>
      <c r="D76">
        <f t="shared" si="1"/>
        <v>0.85333333333333339</v>
      </c>
    </row>
    <row r="77" spans="1:4" x14ac:dyDescent="0.3">
      <c r="A77" s="46">
        <v>46177.791666666664</v>
      </c>
      <c r="B77" s="34">
        <v>0.97499999999999998</v>
      </c>
      <c r="C77">
        <v>3.14</v>
      </c>
      <c r="D77">
        <f t="shared" si="1"/>
        <v>1.0466666666666666</v>
      </c>
    </row>
    <row r="78" spans="1:4" x14ac:dyDescent="0.3">
      <c r="A78" s="45">
        <v>46177.802083333336</v>
      </c>
      <c r="B78" s="30">
        <v>0.97299999999999998</v>
      </c>
      <c r="C78">
        <v>2.9</v>
      </c>
      <c r="D78">
        <f t="shared" si="1"/>
        <v>0.96666666666666667</v>
      </c>
    </row>
    <row r="79" spans="1:4" x14ac:dyDescent="0.3">
      <c r="A79" s="46">
        <v>46177.8125</v>
      </c>
      <c r="B79" s="34">
        <v>0.98099999999999998</v>
      </c>
      <c r="C79">
        <v>3.14</v>
      </c>
      <c r="D79">
        <f t="shared" si="1"/>
        <v>1.0466666666666666</v>
      </c>
    </row>
    <row r="80" spans="1:4" x14ac:dyDescent="0.3">
      <c r="A80" s="45">
        <v>46177.822916666664</v>
      </c>
      <c r="B80" s="30">
        <v>0.98199999999999998</v>
      </c>
      <c r="C80">
        <v>3.28</v>
      </c>
      <c r="D80">
        <f t="shared" si="1"/>
        <v>1.0933333333333333</v>
      </c>
    </row>
    <row r="81" spans="1:4" x14ac:dyDescent="0.3">
      <c r="A81" s="46">
        <v>46177.833333333336</v>
      </c>
      <c r="B81" s="34">
        <v>0.97499999999999998</v>
      </c>
      <c r="C81">
        <v>3.18</v>
      </c>
      <c r="D81">
        <f t="shared" si="1"/>
        <v>1.06</v>
      </c>
    </row>
    <row r="82" spans="1:4" x14ac:dyDescent="0.3">
      <c r="A82" s="45">
        <v>46177.84375</v>
      </c>
      <c r="B82" s="30">
        <v>0.97599999999999998</v>
      </c>
      <c r="C82">
        <v>3.26</v>
      </c>
      <c r="D82">
        <f t="shared" si="1"/>
        <v>1.0866666666666667</v>
      </c>
    </row>
    <row r="83" spans="1:4" x14ac:dyDescent="0.3">
      <c r="A83" s="46">
        <v>46177.854166666664</v>
      </c>
      <c r="B83" s="34">
        <v>0.97599999999999998</v>
      </c>
      <c r="C83">
        <v>3.3</v>
      </c>
      <c r="D83">
        <f t="shared" si="1"/>
        <v>1.0999999999999999</v>
      </c>
    </row>
    <row r="84" spans="1:4" x14ac:dyDescent="0.3">
      <c r="A84" s="45">
        <v>46177.864583333336</v>
      </c>
      <c r="B84" s="30">
        <v>0.97899999999999998</v>
      </c>
      <c r="C84">
        <v>3.66</v>
      </c>
      <c r="D84">
        <f t="shared" si="1"/>
        <v>1.22</v>
      </c>
    </row>
    <row r="85" spans="1:4" x14ac:dyDescent="0.3">
      <c r="A85" s="46">
        <v>46177.875</v>
      </c>
      <c r="B85" s="34">
        <v>0.97399999999999998</v>
      </c>
      <c r="C85">
        <v>3.72</v>
      </c>
      <c r="D85">
        <f t="shared" si="1"/>
        <v>1.24</v>
      </c>
    </row>
    <row r="86" spans="1:4" x14ac:dyDescent="0.3">
      <c r="A86" s="45">
        <v>46177.885416666664</v>
      </c>
      <c r="B86" s="30">
        <v>0.97499999999999998</v>
      </c>
      <c r="C86">
        <v>3.98</v>
      </c>
      <c r="D86">
        <f t="shared" si="1"/>
        <v>1.3266666666666667</v>
      </c>
    </row>
    <row r="87" spans="1:4" x14ac:dyDescent="0.3">
      <c r="A87" s="46">
        <v>46177.895833333336</v>
      </c>
      <c r="B87" s="34">
        <v>0.97699999999999998</v>
      </c>
      <c r="C87">
        <v>4.12</v>
      </c>
      <c r="D87">
        <f t="shared" si="1"/>
        <v>1.3733333333333333</v>
      </c>
    </row>
    <row r="88" spans="1:4" x14ac:dyDescent="0.3">
      <c r="A88" s="45">
        <v>46177.90625</v>
      </c>
      <c r="B88" s="30">
        <v>0.97</v>
      </c>
      <c r="C88">
        <v>3.84</v>
      </c>
      <c r="D88">
        <f t="shared" si="1"/>
        <v>1.28</v>
      </c>
    </row>
    <row r="89" spans="1:4" x14ac:dyDescent="0.3">
      <c r="A89" s="46">
        <v>46177.916666666664</v>
      </c>
      <c r="B89" s="34">
        <v>0.98299999999999998</v>
      </c>
      <c r="C89">
        <v>4.72</v>
      </c>
      <c r="D89">
        <f t="shared" si="1"/>
        <v>1.5733333333333333</v>
      </c>
    </row>
    <row r="90" spans="1:4" x14ac:dyDescent="0.3">
      <c r="A90" s="45">
        <v>46177.927083333336</v>
      </c>
      <c r="B90" s="30">
        <v>0.97399999999999998</v>
      </c>
      <c r="C90">
        <v>3.67</v>
      </c>
      <c r="D90">
        <f t="shared" si="1"/>
        <v>1.2233333333333334</v>
      </c>
    </row>
    <row r="91" spans="1:4" x14ac:dyDescent="0.3">
      <c r="A91" s="46">
        <v>46177.9375</v>
      </c>
      <c r="B91" s="34">
        <v>0.97399999999999998</v>
      </c>
      <c r="C91">
        <v>3.74</v>
      </c>
      <c r="D91">
        <f t="shared" si="1"/>
        <v>1.2466666666666668</v>
      </c>
    </row>
    <row r="92" spans="1:4" x14ac:dyDescent="0.3">
      <c r="A92" s="45">
        <v>46177.947916666664</v>
      </c>
      <c r="B92" s="30">
        <v>0.97899999999999998</v>
      </c>
      <c r="C92">
        <v>3.72</v>
      </c>
      <c r="D92">
        <f t="shared" si="1"/>
        <v>1.24</v>
      </c>
    </row>
    <row r="93" spans="1:4" x14ac:dyDescent="0.3">
      <c r="A93" s="46">
        <v>46177.958333333336</v>
      </c>
      <c r="B93" s="34">
        <v>0.98099999999999998</v>
      </c>
      <c r="C93">
        <v>4.0599999999999996</v>
      </c>
      <c r="D93">
        <f t="shared" si="1"/>
        <v>1.3533333333333333</v>
      </c>
    </row>
    <row r="94" spans="1:4" x14ac:dyDescent="0.3">
      <c r="A94" s="45">
        <v>46177.96875</v>
      </c>
      <c r="B94" s="30">
        <v>0.98</v>
      </c>
      <c r="C94">
        <v>3.92</v>
      </c>
      <c r="D94">
        <f t="shared" si="1"/>
        <v>1.3066666666666666</v>
      </c>
    </row>
    <row r="95" spans="1:4" x14ac:dyDescent="0.3">
      <c r="A95" s="46">
        <v>46177.979166666664</v>
      </c>
      <c r="B95" s="34">
        <v>0.98099999999999998</v>
      </c>
      <c r="C95">
        <v>4.18</v>
      </c>
      <c r="D95">
        <f t="shared" si="1"/>
        <v>1.3933333333333333</v>
      </c>
    </row>
    <row r="96" spans="1:4" x14ac:dyDescent="0.3">
      <c r="A96" s="45">
        <v>46177.989583333336</v>
      </c>
      <c r="B96" s="30">
        <v>0.98499999999999999</v>
      </c>
      <c r="C96">
        <v>3.98</v>
      </c>
      <c r="D96">
        <f t="shared" si="1"/>
        <v>1.3266666666666667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371F0-A8E5-4AE3-8D1E-D71F526ED382}">
  <dimension ref="A1:O96"/>
  <sheetViews>
    <sheetView workbookViewId="0">
      <selection sqref="A1:O96"/>
    </sheetView>
  </sheetViews>
  <sheetFormatPr defaultRowHeight="14.4" x14ac:dyDescent="0.3"/>
  <cols>
    <col min="2" max="2" width="11.77734375" customWidth="1"/>
  </cols>
  <sheetData>
    <row r="1" spans="1:15" x14ac:dyDescent="0.3">
      <c r="A1" s="28">
        <v>46210</v>
      </c>
      <c r="B1" s="29">
        <v>1.0416666666666666E-2</v>
      </c>
      <c r="C1" s="30">
        <v>234</v>
      </c>
      <c r="D1" s="30">
        <v>233</v>
      </c>
      <c r="E1" s="30">
        <v>232</v>
      </c>
      <c r="F1" s="31">
        <v>42.666666666666664</v>
      </c>
      <c r="G1" s="31">
        <v>34.833333333333336</v>
      </c>
      <c r="H1" s="31">
        <v>17.833333333333332</v>
      </c>
      <c r="I1" s="31">
        <v>-0.95699999999999996</v>
      </c>
      <c r="J1" s="31">
        <v>-0.97219999999999995</v>
      </c>
      <c r="K1" s="31">
        <v>0.98770000000000002</v>
      </c>
      <c r="L1" s="31">
        <v>9533.3333333333339</v>
      </c>
      <c r="M1" s="31">
        <v>7883.333333333333</v>
      </c>
      <c r="N1" s="31">
        <v>4083.3333333333335</v>
      </c>
      <c r="O1" s="38">
        <v>21500</v>
      </c>
    </row>
    <row r="2" spans="1:15" x14ac:dyDescent="0.3">
      <c r="A2" s="32">
        <v>46210</v>
      </c>
      <c r="B2" s="33">
        <v>2.0833333333333332E-2</v>
      </c>
      <c r="C2" s="34">
        <v>235</v>
      </c>
      <c r="D2" s="34">
        <v>234</v>
      </c>
      <c r="E2" s="34">
        <v>233</v>
      </c>
      <c r="F2" s="35">
        <v>40</v>
      </c>
      <c r="G2" s="35">
        <v>35.333333333333336</v>
      </c>
      <c r="H2" s="35">
        <v>17.5</v>
      </c>
      <c r="I2" s="35">
        <v>-0.95599999999999996</v>
      </c>
      <c r="J2" s="35">
        <v>-0.97350000000000003</v>
      </c>
      <c r="K2" s="35">
        <v>0.98670000000000002</v>
      </c>
      <c r="L2" s="35">
        <v>8950</v>
      </c>
      <c r="M2" s="35">
        <v>8033.333333333333</v>
      </c>
      <c r="N2" s="35">
        <v>4033.3333333333335</v>
      </c>
      <c r="O2" s="39">
        <v>21000</v>
      </c>
    </row>
    <row r="3" spans="1:15" x14ac:dyDescent="0.3">
      <c r="A3" s="28">
        <v>46210</v>
      </c>
      <c r="B3" s="29">
        <v>3.125E-2</v>
      </c>
      <c r="C3" s="30">
        <v>234</v>
      </c>
      <c r="D3" s="30">
        <v>233</v>
      </c>
      <c r="E3" s="30">
        <v>232</v>
      </c>
      <c r="F3" s="31">
        <v>37.666666666666664</v>
      </c>
      <c r="G3" s="31">
        <v>34.833333333333336</v>
      </c>
      <c r="H3" s="31">
        <v>17.5</v>
      </c>
      <c r="I3" s="31">
        <v>-0.95799999999999996</v>
      </c>
      <c r="J3" s="31">
        <v>-0.97319999999999995</v>
      </c>
      <c r="K3" s="31">
        <v>0.98709999999999998</v>
      </c>
      <c r="L3" s="31">
        <v>8416.6666666666661</v>
      </c>
      <c r="M3" s="31">
        <v>7883.333333333333</v>
      </c>
      <c r="N3" s="31">
        <v>4000</v>
      </c>
      <c r="O3" s="38">
        <v>20333.333333333332</v>
      </c>
    </row>
    <row r="4" spans="1:15" x14ac:dyDescent="0.3">
      <c r="A4" s="32">
        <v>46210</v>
      </c>
      <c r="B4" s="33">
        <v>4.1666666666666664E-2</v>
      </c>
      <c r="C4" s="34">
        <v>233</v>
      </c>
      <c r="D4" s="34">
        <v>232</v>
      </c>
      <c r="E4" s="34">
        <v>231</v>
      </c>
      <c r="F4" s="35">
        <v>37.666666666666664</v>
      </c>
      <c r="G4" s="35">
        <v>34.333333333333336</v>
      </c>
      <c r="H4" s="35">
        <v>17.5</v>
      </c>
      <c r="I4" s="35">
        <v>-0.95709999999999995</v>
      </c>
      <c r="J4" s="35">
        <v>-0.9718</v>
      </c>
      <c r="K4" s="35">
        <v>0.98729999999999996</v>
      </c>
      <c r="L4" s="35">
        <v>8383.3333333333339</v>
      </c>
      <c r="M4" s="35">
        <v>7716.666666666667</v>
      </c>
      <c r="N4" s="35">
        <v>3983.3333333333335</v>
      </c>
      <c r="O4" s="39">
        <v>20166.666666666668</v>
      </c>
    </row>
    <row r="5" spans="1:15" x14ac:dyDescent="0.3">
      <c r="A5" s="28">
        <v>46210</v>
      </c>
      <c r="B5" s="29">
        <v>5.2083333333333336E-2</v>
      </c>
      <c r="C5" s="30">
        <v>232</v>
      </c>
      <c r="D5" s="30">
        <v>232</v>
      </c>
      <c r="E5" s="30">
        <v>231</v>
      </c>
      <c r="F5" s="31">
        <v>37.666666666666664</v>
      </c>
      <c r="G5" s="31">
        <v>33.166666666666664</v>
      </c>
      <c r="H5" s="31">
        <v>18</v>
      </c>
      <c r="I5" s="31">
        <v>-0.95760000000000001</v>
      </c>
      <c r="J5" s="31">
        <v>-0.96799999999999997</v>
      </c>
      <c r="K5" s="31">
        <v>0.98880000000000001</v>
      </c>
      <c r="L5" s="31">
        <v>8366.6666666666661</v>
      </c>
      <c r="M5" s="31">
        <v>7400</v>
      </c>
      <c r="N5" s="31">
        <v>4100</v>
      </c>
      <c r="O5" s="38">
        <v>19833.333333333332</v>
      </c>
    </row>
    <row r="6" spans="1:15" x14ac:dyDescent="0.3">
      <c r="A6" s="32">
        <v>46210</v>
      </c>
      <c r="B6" s="33">
        <v>6.25E-2</v>
      </c>
      <c r="C6" s="34">
        <v>232</v>
      </c>
      <c r="D6" s="34">
        <v>231</v>
      </c>
      <c r="E6" s="34">
        <v>230</v>
      </c>
      <c r="F6" s="35">
        <v>37.166666666666664</v>
      </c>
      <c r="G6" s="35">
        <v>35.166666666666664</v>
      </c>
      <c r="H6" s="35">
        <v>18.5</v>
      </c>
      <c r="I6" s="35">
        <v>-0.95650000000000002</v>
      </c>
      <c r="J6" s="35">
        <v>-0.97419999999999995</v>
      </c>
      <c r="K6" s="35">
        <v>0.9899</v>
      </c>
      <c r="L6" s="35">
        <v>8216.6666666666661</v>
      </c>
      <c r="M6" s="35">
        <v>7900</v>
      </c>
      <c r="N6" s="35">
        <v>4233.333333333333</v>
      </c>
      <c r="O6" s="39">
        <v>20333.333333333332</v>
      </c>
    </row>
    <row r="7" spans="1:15" x14ac:dyDescent="0.3">
      <c r="A7" s="28">
        <v>46210</v>
      </c>
      <c r="B7" s="29">
        <v>7.2916666666666671E-2</v>
      </c>
      <c r="C7" s="30">
        <v>233</v>
      </c>
      <c r="D7" s="30">
        <v>232</v>
      </c>
      <c r="E7" s="30">
        <v>231</v>
      </c>
      <c r="F7" s="31">
        <v>37.5</v>
      </c>
      <c r="G7" s="31">
        <v>34.833333333333336</v>
      </c>
      <c r="H7" s="31">
        <v>18.833333333333332</v>
      </c>
      <c r="I7" s="31">
        <v>-0.95760000000000001</v>
      </c>
      <c r="J7" s="31">
        <v>-0.97360000000000002</v>
      </c>
      <c r="K7" s="31">
        <v>0.99029999999999996</v>
      </c>
      <c r="L7" s="31">
        <v>8333.3333333333339</v>
      </c>
      <c r="M7" s="31">
        <v>7866.666666666667</v>
      </c>
      <c r="N7" s="31">
        <v>4300</v>
      </c>
      <c r="O7" s="38">
        <v>20500</v>
      </c>
    </row>
    <row r="8" spans="1:15" x14ac:dyDescent="0.3">
      <c r="A8" s="32">
        <v>46210</v>
      </c>
      <c r="B8" s="33">
        <v>8.3333333333333329E-2</v>
      </c>
      <c r="C8" s="34">
        <v>233</v>
      </c>
      <c r="D8" s="34">
        <v>232</v>
      </c>
      <c r="E8" s="34">
        <v>231</v>
      </c>
      <c r="F8" s="35">
        <v>37.5</v>
      </c>
      <c r="G8" s="35">
        <v>34.5</v>
      </c>
      <c r="H8" s="35">
        <v>18.5</v>
      </c>
      <c r="I8" s="35">
        <v>-0.95760000000000001</v>
      </c>
      <c r="J8" s="35">
        <v>-0.97219999999999995</v>
      </c>
      <c r="K8" s="35">
        <v>0.98950000000000005</v>
      </c>
      <c r="L8" s="35">
        <v>8333.3333333333339</v>
      </c>
      <c r="M8" s="35">
        <v>7766.666666666667</v>
      </c>
      <c r="N8" s="35">
        <v>4216.666666666667</v>
      </c>
      <c r="O8" s="39">
        <v>20333.333333333332</v>
      </c>
    </row>
    <row r="9" spans="1:15" x14ac:dyDescent="0.3">
      <c r="A9" s="28">
        <v>46210</v>
      </c>
      <c r="B9" s="29">
        <v>9.375E-2</v>
      </c>
      <c r="C9" s="30">
        <v>234</v>
      </c>
      <c r="D9" s="30">
        <v>233</v>
      </c>
      <c r="E9" s="30">
        <v>232</v>
      </c>
      <c r="F9" s="31">
        <v>37.333333333333336</v>
      </c>
      <c r="G9" s="31">
        <v>34</v>
      </c>
      <c r="H9" s="31">
        <v>18.333333333333332</v>
      </c>
      <c r="I9" s="31">
        <v>-0.95569999999999999</v>
      </c>
      <c r="J9" s="31">
        <v>-0.97089999999999999</v>
      </c>
      <c r="K9" s="31">
        <v>0.98919999999999997</v>
      </c>
      <c r="L9" s="31">
        <v>8333.3333333333339</v>
      </c>
      <c r="M9" s="31">
        <v>7700</v>
      </c>
      <c r="N9" s="31">
        <v>4216.666666666667</v>
      </c>
      <c r="O9" s="38">
        <v>20333.333333333332</v>
      </c>
    </row>
    <row r="10" spans="1:15" x14ac:dyDescent="0.3">
      <c r="A10" s="32">
        <v>46210</v>
      </c>
      <c r="B10" s="33">
        <v>0.10416666666666667</v>
      </c>
      <c r="C10" s="34">
        <v>234</v>
      </c>
      <c r="D10" s="34">
        <v>233</v>
      </c>
      <c r="E10" s="34">
        <v>232</v>
      </c>
      <c r="F10" s="35">
        <v>37.333333333333336</v>
      </c>
      <c r="G10" s="35">
        <v>34</v>
      </c>
      <c r="H10" s="35">
        <v>18.333333333333332</v>
      </c>
      <c r="I10" s="35">
        <v>-0.95540000000000003</v>
      </c>
      <c r="J10" s="35">
        <v>-0.97070000000000001</v>
      </c>
      <c r="K10" s="35">
        <v>0.9889</v>
      </c>
      <c r="L10" s="35">
        <v>8316.6666666666661</v>
      </c>
      <c r="M10" s="35">
        <v>7700</v>
      </c>
      <c r="N10" s="35">
        <v>4200</v>
      </c>
      <c r="O10" s="39">
        <v>20166.666666666668</v>
      </c>
    </row>
    <row r="11" spans="1:15" x14ac:dyDescent="0.3">
      <c r="A11" s="28">
        <v>46210</v>
      </c>
      <c r="B11" s="29">
        <v>0.11458333333333333</v>
      </c>
      <c r="C11" s="30">
        <v>235</v>
      </c>
      <c r="D11" s="30">
        <v>234</v>
      </c>
      <c r="E11" s="30">
        <v>233</v>
      </c>
      <c r="F11" s="31">
        <v>36.333333333333336</v>
      </c>
      <c r="G11" s="31">
        <v>34</v>
      </c>
      <c r="H11" s="31">
        <v>18</v>
      </c>
      <c r="I11" s="31">
        <v>-0.95150000000000001</v>
      </c>
      <c r="J11" s="31">
        <v>-0.97050000000000003</v>
      </c>
      <c r="K11" s="31">
        <v>0.9879</v>
      </c>
      <c r="L11" s="31">
        <v>8083.333333333333</v>
      </c>
      <c r="M11" s="31">
        <v>7700</v>
      </c>
      <c r="N11" s="31">
        <v>4116.666666666667</v>
      </c>
      <c r="O11" s="38">
        <v>19833.333333333332</v>
      </c>
    </row>
    <row r="12" spans="1:15" x14ac:dyDescent="0.3">
      <c r="A12" s="32">
        <v>46210</v>
      </c>
      <c r="B12" s="33">
        <v>0.125</v>
      </c>
      <c r="C12" s="34">
        <v>235</v>
      </c>
      <c r="D12" s="34">
        <v>235</v>
      </c>
      <c r="E12" s="34">
        <v>234</v>
      </c>
      <c r="F12" s="35">
        <v>35.5</v>
      </c>
      <c r="G12" s="35">
        <v>33.833333333333336</v>
      </c>
      <c r="H12" s="35">
        <v>15.133333333333333</v>
      </c>
      <c r="I12" s="35">
        <v>-0.94989999999999997</v>
      </c>
      <c r="J12" s="35">
        <v>-0.96989999999999998</v>
      </c>
      <c r="K12" s="35">
        <v>0.97719999999999996</v>
      </c>
      <c r="L12" s="35">
        <v>7933.333333333333</v>
      </c>
      <c r="M12" s="35">
        <v>7683.333333333333</v>
      </c>
      <c r="N12" s="35">
        <v>3450</v>
      </c>
      <c r="O12" s="39">
        <v>19000</v>
      </c>
    </row>
    <row r="13" spans="1:15" x14ac:dyDescent="0.3">
      <c r="A13" s="28">
        <v>46210</v>
      </c>
      <c r="B13" s="29">
        <v>0.13541666666666666</v>
      </c>
      <c r="C13" s="30">
        <v>235</v>
      </c>
      <c r="D13" s="30">
        <v>234</v>
      </c>
      <c r="E13" s="30">
        <v>233</v>
      </c>
      <c r="F13" s="31">
        <v>36</v>
      </c>
      <c r="G13" s="31">
        <v>33.833333333333336</v>
      </c>
      <c r="H13" s="31">
        <v>15.133333333333333</v>
      </c>
      <c r="I13" s="31">
        <v>-0.95050000000000001</v>
      </c>
      <c r="J13" s="31">
        <v>-0.97009999999999996</v>
      </c>
      <c r="K13" s="31">
        <v>0.97699999999999998</v>
      </c>
      <c r="L13" s="31">
        <v>8016.666666666667</v>
      </c>
      <c r="M13" s="31">
        <v>7700</v>
      </c>
      <c r="N13" s="31">
        <v>3450</v>
      </c>
      <c r="O13" s="38">
        <v>19166.666666666668</v>
      </c>
    </row>
    <row r="14" spans="1:15" x14ac:dyDescent="0.3">
      <c r="A14" s="32">
        <v>46210</v>
      </c>
      <c r="B14" s="33">
        <v>0.14583333333333334</v>
      </c>
      <c r="C14" s="34">
        <v>236</v>
      </c>
      <c r="D14" s="34">
        <v>235</v>
      </c>
      <c r="E14" s="34">
        <v>234</v>
      </c>
      <c r="F14" s="35">
        <v>36</v>
      </c>
      <c r="G14" s="35">
        <v>33.666666666666664</v>
      </c>
      <c r="H14" s="35">
        <v>15.083333333333334</v>
      </c>
      <c r="I14" s="35">
        <v>-0.95079999999999998</v>
      </c>
      <c r="J14" s="35">
        <v>-0.96919999999999995</v>
      </c>
      <c r="K14" s="35">
        <v>0.97650000000000003</v>
      </c>
      <c r="L14" s="35">
        <v>8066.666666666667</v>
      </c>
      <c r="M14" s="35">
        <v>7666.666666666667</v>
      </c>
      <c r="N14" s="35">
        <v>3450</v>
      </c>
      <c r="O14" s="39">
        <v>19166.666666666668</v>
      </c>
    </row>
    <row r="15" spans="1:15" x14ac:dyDescent="0.3">
      <c r="A15" s="28">
        <v>46210</v>
      </c>
      <c r="B15" s="29">
        <v>0.15625</v>
      </c>
      <c r="C15" s="30">
        <v>234</v>
      </c>
      <c r="D15" s="30">
        <v>233</v>
      </c>
      <c r="E15" s="30">
        <v>232</v>
      </c>
      <c r="F15" s="31">
        <v>36.5</v>
      </c>
      <c r="G15" s="31">
        <v>34</v>
      </c>
      <c r="H15" s="31">
        <v>15.083333333333334</v>
      </c>
      <c r="I15" s="31">
        <v>-0.95230000000000004</v>
      </c>
      <c r="J15" s="31">
        <v>-0.9708</v>
      </c>
      <c r="K15" s="31">
        <v>0.97740000000000005</v>
      </c>
      <c r="L15" s="31">
        <v>8116.666666666667</v>
      </c>
      <c r="M15" s="31">
        <v>7683.333333333333</v>
      </c>
      <c r="N15" s="31">
        <v>3416.6666666666665</v>
      </c>
      <c r="O15" s="38">
        <v>19166.666666666668</v>
      </c>
    </row>
    <row r="16" spans="1:15" x14ac:dyDescent="0.3">
      <c r="A16" s="32">
        <v>46210</v>
      </c>
      <c r="B16" s="33">
        <v>0.16666666666666666</v>
      </c>
      <c r="C16" s="34">
        <v>233</v>
      </c>
      <c r="D16" s="34">
        <v>232</v>
      </c>
      <c r="E16" s="34">
        <v>232</v>
      </c>
      <c r="F16" s="35">
        <v>37.166666666666664</v>
      </c>
      <c r="G16" s="35">
        <v>33.833333333333336</v>
      </c>
      <c r="H16" s="35">
        <v>14.783333333333333</v>
      </c>
      <c r="I16" s="35">
        <v>-0.95530000000000004</v>
      </c>
      <c r="J16" s="35">
        <v>-0.97060000000000002</v>
      </c>
      <c r="K16" s="35">
        <v>0.9758</v>
      </c>
      <c r="L16" s="35">
        <v>8250</v>
      </c>
      <c r="M16" s="35">
        <v>7633.333333333333</v>
      </c>
      <c r="N16" s="35">
        <v>3333.3333333333335</v>
      </c>
      <c r="O16" s="39">
        <v>19166.666666666668</v>
      </c>
    </row>
    <row r="17" spans="1:15" x14ac:dyDescent="0.3">
      <c r="A17" s="28">
        <v>46210</v>
      </c>
      <c r="B17" s="29">
        <v>0.17708333333333334</v>
      </c>
      <c r="C17" s="30">
        <v>233</v>
      </c>
      <c r="D17" s="30">
        <v>232</v>
      </c>
      <c r="E17" s="30">
        <v>231</v>
      </c>
      <c r="F17" s="31">
        <v>36.5</v>
      </c>
      <c r="G17" s="31">
        <v>30.666666666666668</v>
      </c>
      <c r="H17" s="31">
        <v>14.816666666666666</v>
      </c>
      <c r="I17" s="31">
        <v>-0.95440000000000003</v>
      </c>
      <c r="J17" s="31">
        <v>-0.96020000000000005</v>
      </c>
      <c r="K17" s="31">
        <v>0.97599999999999998</v>
      </c>
      <c r="L17" s="31">
        <v>8100</v>
      </c>
      <c r="M17" s="31">
        <v>6800</v>
      </c>
      <c r="N17" s="31">
        <v>3350</v>
      </c>
      <c r="O17" s="38">
        <v>18333.333333333332</v>
      </c>
    </row>
    <row r="18" spans="1:15" x14ac:dyDescent="0.3">
      <c r="A18" s="32">
        <v>46210</v>
      </c>
      <c r="B18" s="33">
        <v>0.1875</v>
      </c>
      <c r="C18" s="34">
        <v>232</v>
      </c>
      <c r="D18" s="34">
        <v>231</v>
      </c>
      <c r="E18" s="34">
        <v>230</v>
      </c>
      <c r="F18" s="35">
        <v>37.333333333333336</v>
      </c>
      <c r="G18" s="35">
        <v>34</v>
      </c>
      <c r="H18" s="35">
        <v>14.916666666666666</v>
      </c>
      <c r="I18" s="35">
        <v>-0.95709999999999995</v>
      </c>
      <c r="J18" s="35">
        <v>-0.97140000000000004</v>
      </c>
      <c r="K18" s="35">
        <v>0.97689999999999999</v>
      </c>
      <c r="L18" s="35">
        <v>8266.6666666666661</v>
      </c>
      <c r="M18" s="35">
        <v>7650</v>
      </c>
      <c r="N18" s="35">
        <v>3350</v>
      </c>
      <c r="O18" s="39">
        <v>19333.333333333332</v>
      </c>
    </row>
    <row r="19" spans="1:15" x14ac:dyDescent="0.3">
      <c r="A19" s="28">
        <v>46210</v>
      </c>
      <c r="B19" s="29">
        <v>0.19791666666666666</v>
      </c>
      <c r="C19" s="30">
        <v>231</v>
      </c>
      <c r="D19" s="30">
        <v>230</v>
      </c>
      <c r="E19" s="30">
        <v>230</v>
      </c>
      <c r="F19" s="31">
        <v>37.666666666666664</v>
      </c>
      <c r="G19" s="31">
        <v>34.333333333333336</v>
      </c>
      <c r="H19" s="31">
        <v>14.933333333333334</v>
      </c>
      <c r="I19" s="31">
        <v>-0.95789999999999997</v>
      </c>
      <c r="J19" s="31">
        <v>-0.97260000000000002</v>
      </c>
      <c r="K19" s="31">
        <v>0.97719999999999996</v>
      </c>
      <c r="L19" s="31">
        <v>8300</v>
      </c>
      <c r="M19" s="31">
        <v>7700</v>
      </c>
      <c r="N19" s="31">
        <v>3350</v>
      </c>
      <c r="O19" s="38">
        <v>19333.333333333332</v>
      </c>
    </row>
    <row r="20" spans="1:15" x14ac:dyDescent="0.3">
      <c r="A20" s="32">
        <v>46210</v>
      </c>
      <c r="B20" s="33">
        <v>0.20833333333333334</v>
      </c>
      <c r="C20" s="34">
        <v>230</v>
      </c>
      <c r="D20" s="34">
        <v>230</v>
      </c>
      <c r="E20" s="34">
        <v>229</v>
      </c>
      <c r="F20" s="35">
        <v>37.5</v>
      </c>
      <c r="G20" s="35">
        <v>34.333333333333336</v>
      </c>
      <c r="H20" s="35">
        <v>14.95</v>
      </c>
      <c r="I20" s="35">
        <v>-0.95669999999999999</v>
      </c>
      <c r="J20" s="35">
        <v>-0.97299999999999998</v>
      </c>
      <c r="K20" s="35">
        <v>0.97770000000000001</v>
      </c>
      <c r="L20" s="35">
        <v>8233.3333333333339</v>
      </c>
      <c r="M20" s="35">
        <v>7683.333333333333</v>
      </c>
      <c r="N20" s="35">
        <v>3333.3333333333335</v>
      </c>
      <c r="O20" s="39">
        <v>19333.333333333332</v>
      </c>
    </row>
    <row r="21" spans="1:15" x14ac:dyDescent="0.3">
      <c r="A21" s="28">
        <v>46210</v>
      </c>
      <c r="B21" s="29">
        <v>0.21875</v>
      </c>
      <c r="C21" s="30">
        <v>229</v>
      </c>
      <c r="D21" s="30">
        <v>229</v>
      </c>
      <c r="E21" s="30">
        <v>228</v>
      </c>
      <c r="F21" s="31">
        <v>37.666666666666664</v>
      </c>
      <c r="G21" s="31">
        <v>34.5</v>
      </c>
      <c r="H21" s="31">
        <v>14.983333333333333</v>
      </c>
      <c r="I21" s="31">
        <v>-0.95779999999999998</v>
      </c>
      <c r="J21" s="31">
        <v>-0.97360000000000002</v>
      </c>
      <c r="K21" s="31">
        <v>0.97829999999999995</v>
      </c>
      <c r="L21" s="31">
        <v>8233.3333333333339</v>
      </c>
      <c r="M21" s="31">
        <v>7683.333333333333</v>
      </c>
      <c r="N21" s="31">
        <v>3333.3333333333335</v>
      </c>
      <c r="O21" s="38">
        <v>19333.333333333332</v>
      </c>
    </row>
    <row r="22" spans="1:15" x14ac:dyDescent="0.3">
      <c r="A22" s="32">
        <v>46210</v>
      </c>
      <c r="B22" s="33">
        <v>0.22916666666666666</v>
      </c>
      <c r="C22" s="34">
        <v>229</v>
      </c>
      <c r="D22" s="34">
        <v>228</v>
      </c>
      <c r="E22" s="34">
        <v>227</v>
      </c>
      <c r="F22" s="35">
        <v>37</v>
      </c>
      <c r="G22" s="35">
        <v>34.5</v>
      </c>
      <c r="H22" s="35">
        <v>14.983333333333333</v>
      </c>
      <c r="I22" s="35">
        <v>-0.95609999999999995</v>
      </c>
      <c r="J22" s="35">
        <v>-0.97370000000000001</v>
      </c>
      <c r="K22" s="35">
        <v>0.97840000000000005</v>
      </c>
      <c r="L22" s="35">
        <v>8083.333333333333</v>
      </c>
      <c r="M22" s="35">
        <v>7683.333333333333</v>
      </c>
      <c r="N22" s="35">
        <v>3333.3333333333335</v>
      </c>
      <c r="O22" s="39">
        <v>19166.666666666668</v>
      </c>
    </row>
    <row r="23" spans="1:15" x14ac:dyDescent="0.3">
      <c r="A23" s="28">
        <v>46210</v>
      </c>
      <c r="B23" s="29">
        <v>0.23958333333333334</v>
      </c>
      <c r="C23" s="30">
        <v>228</v>
      </c>
      <c r="D23" s="30">
        <v>227</v>
      </c>
      <c r="E23" s="30">
        <v>226</v>
      </c>
      <c r="F23" s="31">
        <v>38.166666666666664</v>
      </c>
      <c r="G23" s="31">
        <v>34.666666666666664</v>
      </c>
      <c r="H23" s="31">
        <v>14.966666666666667</v>
      </c>
      <c r="I23" s="31">
        <v>-0.95930000000000004</v>
      </c>
      <c r="J23" s="31">
        <v>-0.97440000000000004</v>
      </c>
      <c r="K23" s="31">
        <v>0.97960000000000003</v>
      </c>
      <c r="L23" s="31">
        <v>8316.6666666666661</v>
      </c>
      <c r="M23" s="31">
        <v>7666.666666666667</v>
      </c>
      <c r="N23" s="31">
        <v>3300</v>
      </c>
      <c r="O23" s="38">
        <v>19333.333333333332</v>
      </c>
    </row>
    <row r="24" spans="1:15" x14ac:dyDescent="0.3">
      <c r="A24" s="32">
        <v>46210</v>
      </c>
      <c r="B24" s="33">
        <v>0.25</v>
      </c>
      <c r="C24" s="34">
        <v>228</v>
      </c>
      <c r="D24" s="34">
        <v>227</v>
      </c>
      <c r="E24" s="34">
        <v>226</v>
      </c>
      <c r="F24" s="35">
        <v>38.333333333333336</v>
      </c>
      <c r="G24" s="35">
        <v>31</v>
      </c>
      <c r="H24" s="35">
        <v>14.916666666666666</v>
      </c>
      <c r="I24" s="35">
        <v>-0.95909999999999995</v>
      </c>
      <c r="J24" s="35">
        <v>-0.9627</v>
      </c>
      <c r="K24" s="35">
        <v>0.97929999999999995</v>
      </c>
      <c r="L24" s="35">
        <v>8333.3333333333339</v>
      </c>
      <c r="M24" s="35">
        <v>6733.333333333333</v>
      </c>
      <c r="N24" s="35">
        <v>3300</v>
      </c>
      <c r="O24" s="39">
        <v>18333.333333333332</v>
      </c>
    </row>
    <row r="25" spans="1:15" x14ac:dyDescent="0.3">
      <c r="A25" s="28">
        <v>46210</v>
      </c>
      <c r="B25" s="29">
        <v>0.26041666666666669</v>
      </c>
      <c r="C25" s="30">
        <v>229</v>
      </c>
      <c r="D25" s="30">
        <v>228</v>
      </c>
      <c r="E25" s="30">
        <v>227</v>
      </c>
      <c r="F25" s="31">
        <v>37.833333333333336</v>
      </c>
      <c r="G25" s="31">
        <v>34.5</v>
      </c>
      <c r="H25" s="31">
        <v>14.883333333333333</v>
      </c>
      <c r="I25" s="31">
        <v>-0.9577</v>
      </c>
      <c r="J25" s="31">
        <v>-0.97330000000000005</v>
      </c>
      <c r="K25" s="31">
        <v>0.97909999999999997</v>
      </c>
      <c r="L25" s="31">
        <v>8266.6666666666661</v>
      </c>
      <c r="M25" s="31">
        <v>7666.666666666667</v>
      </c>
      <c r="N25" s="31">
        <v>3300</v>
      </c>
      <c r="O25" s="38">
        <v>19166.666666666668</v>
      </c>
    </row>
    <row r="26" spans="1:15" x14ac:dyDescent="0.3">
      <c r="A26" s="32">
        <v>46210</v>
      </c>
      <c r="B26" s="33">
        <v>0.27083333333333331</v>
      </c>
      <c r="C26" s="34">
        <v>229</v>
      </c>
      <c r="D26" s="34">
        <v>229</v>
      </c>
      <c r="E26" s="34">
        <v>228</v>
      </c>
      <c r="F26" s="35">
        <v>37.166666666666664</v>
      </c>
      <c r="G26" s="35">
        <v>34.5</v>
      </c>
      <c r="H26" s="35">
        <v>14.883333333333333</v>
      </c>
      <c r="I26" s="35">
        <v>-0.95520000000000005</v>
      </c>
      <c r="J26" s="35">
        <v>-0.97330000000000005</v>
      </c>
      <c r="K26" s="35">
        <v>0.97750000000000004</v>
      </c>
      <c r="L26" s="35">
        <v>8116.666666666667</v>
      </c>
      <c r="M26" s="35">
        <v>7683.333333333333</v>
      </c>
      <c r="N26" s="35">
        <v>3316.6666666666665</v>
      </c>
      <c r="O26" s="39">
        <v>19166.666666666668</v>
      </c>
    </row>
    <row r="27" spans="1:15" x14ac:dyDescent="0.3">
      <c r="A27" s="28">
        <v>46210</v>
      </c>
      <c r="B27" s="29">
        <v>0.28125</v>
      </c>
      <c r="C27" s="30">
        <v>232</v>
      </c>
      <c r="D27" s="30">
        <v>231</v>
      </c>
      <c r="E27" s="30">
        <v>230</v>
      </c>
      <c r="F27" s="31">
        <v>36.833333333333336</v>
      </c>
      <c r="G27" s="31">
        <v>33.166666666666664</v>
      </c>
      <c r="H27" s="31">
        <v>14.816666666666666</v>
      </c>
      <c r="I27" s="31">
        <v>-0.95509999999999995</v>
      </c>
      <c r="J27" s="31">
        <v>-0.96830000000000005</v>
      </c>
      <c r="K27" s="31">
        <v>0.97599999999999998</v>
      </c>
      <c r="L27" s="31">
        <v>8150</v>
      </c>
      <c r="M27" s="31">
        <v>7416.666666666667</v>
      </c>
      <c r="N27" s="31">
        <v>3333.3333333333335</v>
      </c>
      <c r="O27" s="38">
        <v>18833.333333333332</v>
      </c>
    </row>
    <row r="28" spans="1:15" x14ac:dyDescent="0.3">
      <c r="A28" s="32">
        <v>46210</v>
      </c>
      <c r="B28" s="33">
        <v>0.29166666666666669</v>
      </c>
      <c r="C28" s="34">
        <v>235</v>
      </c>
      <c r="D28" s="34">
        <v>234</v>
      </c>
      <c r="E28" s="34">
        <v>233</v>
      </c>
      <c r="F28" s="35">
        <v>37.333333333333336</v>
      </c>
      <c r="G28" s="35">
        <v>31.666666666666668</v>
      </c>
      <c r="H28" s="35">
        <v>14.7</v>
      </c>
      <c r="I28" s="35">
        <v>-0.95569999999999999</v>
      </c>
      <c r="J28" s="35">
        <v>-0.96209999999999996</v>
      </c>
      <c r="K28" s="35">
        <v>0.97389999999999999</v>
      </c>
      <c r="L28" s="35">
        <v>8366.6666666666661</v>
      </c>
      <c r="M28" s="35">
        <v>7100</v>
      </c>
      <c r="N28" s="35">
        <v>3333.3333333333335</v>
      </c>
      <c r="O28" s="39">
        <v>18833.333333333332</v>
      </c>
    </row>
    <row r="29" spans="1:15" x14ac:dyDescent="0.3">
      <c r="A29" s="28">
        <v>46210</v>
      </c>
      <c r="B29" s="29">
        <v>0.30208333333333331</v>
      </c>
      <c r="C29" s="30">
        <v>234</v>
      </c>
      <c r="D29" s="30">
        <v>233</v>
      </c>
      <c r="E29" s="30">
        <v>232</v>
      </c>
      <c r="F29" s="31">
        <v>38.5</v>
      </c>
      <c r="G29" s="31">
        <v>34.166666666666664</v>
      </c>
      <c r="H29" s="31">
        <v>14.783333333333333</v>
      </c>
      <c r="I29" s="31">
        <v>-0.96120000000000005</v>
      </c>
      <c r="J29" s="31">
        <v>-0.97070000000000001</v>
      </c>
      <c r="K29" s="31">
        <v>0.97430000000000005</v>
      </c>
      <c r="L29" s="31">
        <v>8650</v>
      </c>
      <c r="M29" s="31">
        <v>7716.666666666667</v>
      </c>
      <c r="N29" s="31">
        <v>3350</v>
      </c>
      <c r="O29" s="38">
        <v>19666.666666666668</v>
      </c>
    </row>
    <row r="30" spans="1:15" x14ac:dyDescent="0.3">
      <c r="A30" s="32">
        <v>46210</v>
      </c>
      <c r="B30" s="33">
        <v>0.3125</v>
      </c>
      <c r="C30" s="34">
        <v>233</v>
      </c>
      <c r="D30" s="34">
        <v>232</v>
      </c>
      <c r="E30" s="34">
        <v>231</v>
      </c>
      <c r="F30" s="35">
        <v>36.166666666666664</v>
      </c>
      <c r="G30" s="35">
        <v>32.333333333333336</v>
      </c>
      <c r="H30" s="35">
        <v>14.883333333333333</v>
      </c>
      <c r="I30" s="35">
        <v>-0.95420000000000005</v>
      </c>
      <c r="J30" s="35">
        <v>-0.96479999999999999</v>
      </c>
      <c r="K30" s="35">
        <v>0.9758</v>
      </c>
      <c r="L30" s="35">
        <v>8016.666666666667</v>
      </c>
      <c r="M30" s="35">
        <v>7200</v>
      </c>
      <c r="N30" s="35">
        <v>3350</v>
      </c>
      <c r="O30" s="39">
        <v>18666.666666666668</v>
      </c>
    </row>
    <row r="31" spans="1:15" x14ac:dyDescent="0.3">
      <c r="A31" s="28">
        <v>46210</v>
      </c>
      <c r="B31" s="29">
        <v>0.32291666666666669</v>
      </c>
      <c r="C31" s="30">
        <v>234</v>
      </c>
      <c r="D31" s="30">
        <v>232</v>
      </c>
      <c r="E31" s="30">
        <v>232</v>
      </c>
      <c r="F31" s="31">
        <v>35.666666666666664</v>
      </c>
      <c r="G31" s="31">
        <v>34.333333333333336</v>
      </c>
      <c r="H31" s="31">
        <v>14.883333333333333</v>
      </c>
      <c r="I31" s="31">
        <v>-0.95279999999999998</v>
      </c>
      <c r="J31" s="31">
        <v>-0.97189999999999999</v>
      </c>
      <c r="K31" s="31">
        <v>0.97570000000000001</v>
      </c>
      <c r="L31" s="31">
        <v>7950</v>
      </c>
      <c r="M31" s="31">
        <v>7766.666666666667</v>
      </c>
      <c r="N31" s="31">
        <v>3366.6666666666665</v>
      </c>
      <c r="O31" s="38">
        <v>19166.666666666668</v>
      </c>
    </row>
    <row r="32" spans="1:15" x14ac:dyDescent="0.3">
      <c r="A32" s="32">
        <v>46210</v>
      </c>
      <c r="B32" s="33">
        <v>0.33333333333333331</v>
      </c>
      <c r="C32" s="34">
        <v>234</v>
      </c>
      <c r="D32" s="34">
        <v>232</v>
      </c>
      <c r="E32" s="34">
        <v>232</v>
      </c>
      <c r="F32" s="35">
        <v>41.333333333333336</v>
      </c>
      <c r="G32" s="35">
        <v>35.333333333333336</v>
      </c>
      <c r="H32" s="35">
        <v>17.333333333333332</v>
      </c>
      <c r="I32" s="35">
        <v>-0.96879999999999999</v>
      </c>
      <c r="J32" s="35">
        <v>-0.97389999999999999</v>
      </c>
      <c r="K32" s="35">
        <v>0.98050000000000004</v>
      </c>
      <c r="L32" s="35">
        <v>9316.6666666666661</v>
      </c>
      <c r="M32" s="35">
        <v>7983.333333333333</v>
      </c>
      <c r="N32" s="35">
        <v>3933.3333333333335</v>
      </c>
      <c r="O32" s="39">
        <v>21166.666666666668</v>
      </c>
    </row>
    <row r="33" spans="1:15" x14ac:dyDescent="0.3">
      <c r="A33" s="28">
        <v>46210</v>
      </c>
      <c r="B33" s="29">
        <v>0.34375</v>
      </c>
      <c r="C33" s="30">
        <v>233</v>
      </c>
      <c r="D33" s="30">
        <v>232</v>
      </c>
      <c r="E33" s="30">
        <v>232</v>
      </c>
      <c r="F33" s="31">
        <v>44.833333333333336</v>
      </c>
      <c r="G33" s="31">
        <v>36</v>
      </c>
      <c r="H33" s="31">
        <v>19.166666666666668</v>
      </c>
      <c r="I33" s="31">
        <v>-0.97770000000000001</v>
      </c>
      <c r="J33" s="31">
        <v>-0.97519999999999996</v>
      </c>
      <c r="K33" s="31">
        <v>0.98480000000000001</v>
      </c>
      <c r="L33" s="31">
        <v>10233.333333333334</v>
      </c>
      <c r="M33" s="31">
        <v>8133.333333333333</v>
      </c>
      <c r="N33" s="31">
        <v>4350</v>
      </c>
      <c r="O33" s="38">
        <v>22666.666666666668</v>
      </c>
    </row>
    <row r="34" spans="1:15" x14ac:dyDescent="0.3">
      <c r="A34" s="32">
        <v>46210</v>
      </c>
      <c r="B34" s="33">
        <v>0.35416666666666669</v>
      </c>
      <c r="C34" s="34">
        <v>231</v>
      </c>
      <c r="D34" s="34">
        <v>229</v>
      </c>
      <c r="E34" s="34">
        <v>229</v>
      </c>
      <c r="F34" s="35">
        <v>46</v>
      </c>
      <c r="G34" s="35">
        <v>37</v>
      </c>
      <c r="H34" s="35">
        <v>18.166666666666668</v>
      </c>
      <c r="I34" s="35">
        <v>-0.97960000000000003</v>
      </c>
      <c r="J34" s="35">
        <v>-0.97809999999999997</v>
      </c>
      <c r="K34" s="35">
        <v>0.98529999999999995</v>
      </c>
      <c r="L34" s="35">
        <v>10383.333333333334</v>
      </c>
      <c r="M34" s="35">
        <v>8300</v>
      </c>
      <c r="N34" s="35">
        <v>4083.3333333333335</v>
      </c>
      <c r="O34" s="39">
        <v>22833.333333333332</v>
      </c>
    </row>
    <row r="35" spans="1:15" x14ac:dyDescent="0.3">
      <c r="A35" s="28">
        <v>46210</v>
      </c>
      <c r="B35" s="29">
        <v>0.36458333333333331</v>
      </c>
      <c r="C35" s="30">
        <v>229</v>
      </c>
      <c r="D35" s="30">
        <v>227</v>
      </c>
      <c r="E35" s="30">
        <v>227</v>
      </c>
      <c r="F35" s="31">
        <v>47.166666666666664</v>
      </c>
      <c r="G35" s="31">
        <v>37.833333333333336</v>
      </c>
      <c r="H35" s="31">
        <v>17</v>
      </c>
      <c r="I35" s="31">
        <v>-0.98040000000000005</v>
      </c>
      <c r="J35" s="31">
        <v>-0.98009999999999997</v>
      </c>
      <c r="K35" s="31">
        <v>0.98980000000000001</v>
      </c>
      <c r="L35" s="31">
        <v>10550</v>
      </c>
      <c r="M35" s="31">
        <v>8433.3333333333339</v>
      </c>
      <c r="N35" s="31">
        <v>3816.6666666666665</v>
      </c>
      <c r="O35" s="38">
        <v>22833.333333333332</v>
      </c>
    </row>
    <row r="36" spans="1:15" x14ac:dyDescent="0.3">
      <c r="A36" s="32">
        <v>46210</v>
      </c>
      <c r="B36" s="33">
        <v>0.375</v>
      </c>
      <c r="C36" s="34">
        <v>228</v>
      </c>
      <c r="D36" s="34">
        <v>227</v>
      </c>
      <c r="E36" s="34">
        <v>227</v>
      </c>
      <c r="F36" s="35">
        <v>50.333333333333336</v>
      </c>
      <c r="G36" s="35">
        <v>38.833333333333336</v>
      </c>
      <c r="H36" s="35">
        <v>20.833333333333332</v>
      </c>
      <c r="I36" s="35">
        <v>-0.98299999999999998</v>
      </c>
      <c r="J36" s="35">
        <v>-0.98180000000000001</v>
      </c>
      <c r="K36" s="35">
        <v>0.99460000000000004</v>
      </c>
      <c r="L36" s="35">
        <v>11266.666666666666</v>
      </c>
      <c r="M36" s="35">
        <v>8650</v>
      </c>
      <c r="N36" s="35">
        <v>4633.333333333333</v>
      </c>
      <c r="O36" s="39">
        <v>24500</v>
      </c>
    </row>
    <row r="37" spans="1:15" x14ac:dyDescent="0.3">
      <c r="A37" s="28">
        <v>46210</v>
      </c>
      <c r="B37" s="29">
        <v>0.38541666666666669</v>
      </c>
      <c r="C37" s="30">
        <v>227</v>
      </c>
      <c r="D37" s="30">
        <v>226</v>
      </c>
      <c r="E37" s="30">
        <v>226</v>
      </c>
      <c r="F37" s="31">
        <v>57.666666666666664</v>
      </c>
      <c r="G37" s="31">
        <v>41.166666666666664</v>
      </c>
      <c r="H37" s="31">
        <v>26.166666666666668</v>
      </c>
      <c r="I37" s="31">
        <v>-0.98899999999999999</v>
      </c>
      <c r="J37" s="31">
        <v>-0.98350000000000004</v>
      </c>
      <c r="K37" s="31">
        <v>-0.99970000000000003</v>
      </c>
      <c r="L37" s="31">
        <v>12950</v>
      </c>
      <c r="M37" s="31">
        <v>9150</v>
      </c>
      <c r="N37" s="31">
        <v>5850</v>
      </c>
      <c r="O37" s="38">
        <v>28000</v>
      </c>
    </row>
    <row r="38" spans="1:15" x14ac:dyDescent="0.3">
      <c r="A38" s="32">
        <v>46210</v>
      </c>
      <c r="B38" s="33">
        <v>0.39583333333333331</v>
      </c>
      <c r="C38" s="34">
        <v>228</v>
      </c>
      <c r="D38" s="34">
        <v>227</v>
      </c>
      <c r="E38" s="34">
        <v>226</v>
      </c>
      <c r="F38" s="35">
        <v>59.166666666666664</v>
      </c>
      <c r="G38" s="35">
        <v>43.333333333333336</v>
      </c>
      <c r="H38" s="35">
        <v>26</v>
      </c>
      <c r="I38" s="35">
        <v>-0.98980000000000001</v>
      </c>
      <c r="J38" s="35">
        <v>-0.98409999999999997</v>
      </c>
      <c r="K38" s="35">
        <v>0.99380000000000002</v>
      </c>
      <c r="L38" s="35">
        <v>13333.333333333334</v>
      </c>
      <c r="M38" s="35">
        <v>9633.3333333333339</v>
      </c>
      <c r="N38" s="35">
        <v>5816.666666666667</v>
      </c>
      <c r="O38" s="39">
        <v>28833.333333333332</v>
      </c>
    </row>
    <row r="39" spans="1:15" x14ac:dyDescent="0.3">
      <c r="A39" s="28">
        <v>46210</v>
      </c>
      <c r="B39" s="29">
        <v>0.40625</v>
      </c>
      <c r="C39" s="30">
        <v>228</v>
      </c>
      <c r="D39" s="30">
        <v>227</v>
      </c>
      <c r="E39" s="30">
        <v>227</v>
      </c>
      <c r="F39" s="31">
        <v>59.166666666666664</v>
      </c>
      <c r="G39" s="31">
        <v>44.333333333333336</v>
      </c>
      <c r="H39" s="31">
        <v>25.666666666666668</v>
      </c>
      <c r="I39" s="31">
        <v>-0.99</v>
      </c>
      <c r="J39" s="31">
        <v>-0.98550000000000004</v>
      </c>
      <c r="K39" s="31">
        <v>0.99790000000000001</v>
      </c>
      <c r="L39" s="31">
        <v>13383.333333333334</v>
      </c>
      <c r="M39" s="31">
        <v>9900</v>
      </c>
      <c r="N39" s="31">
        <v>5750</v>
      </c>
      <c r="O39" s="38">
        <v>29000</v>
      </c>
    </row>
    <row r="40" spans="1:15" x14ac:dyDescent="0.3">
      <c r="A40" s="32">
        <v>46210</v>
      </c>
      <c r="B40" s="33">
        <v>0.41666666666666669</v>
      </c>
      <c r="C40" s="34">
        <v>228</v>
      </c>
      <c r="D40" s="34">
        <v>227</v>
      </c>
      <c r="E40" s="34">
        <v>227</v>
      </c>
      <c r="F40" s="35">
        <v>61.666666666666664</v>
      </c>
      <c r="G40" s="35">
        <v>45</v>
      </c>
      <c r="H40" s="35">
        <v>25.166666666666668</v>
      </c>
      <c r="I40" s="35">
        <v>-0.99060000000000004</v>
      </c>
      <c r="J40" s="35">
        <v>-0.98640000000000005</v>
      </c>
      <c r="K40" s="35">
        <v>-0.99109999999999998</v>
      </c>
      <c r="L40" s="35">
        <v>13900</v>
      </c>
      <c r="M40" s="35">
        <v>10050</v>
      </c>
      <c r="N40" s="35">
        <v>5650</v>
      </c>
      <c r="O40" s="39">
        <v>29666.666666666668</v>
      </c>
    </row>
    <row r="41" spans="1:15" x14ac:dyDescent="0.3">
      <c r="A41" s="28">
        <v>46210</v>
      </c>
      <c r="B41" s="29">
        <v>0.42708333333333331</v>
      </c>
      <c r="C41" s="30">
        <v>229</v>
      </c>
      <c r="D41" s="30">
        <v>227</v>
      </c>
      <c r="E41" s="30">
        <v>227</v>
      </c>
      <c r="F41" s="31">
        <v>60.333333333333336</v>
      </c>
      <c r="G41" s="31">
        <v>49.833333333333336</v>
      </c>
      <c r="H41" s="31">
        <v>26.333333333333332</v>
      </c>
      <c r="I41" s="31">
        <v>-0.99029999999999996</v>
      </c>
      <c r="J41" s="31">
        <v>-0.98960000000000004</v>
      </c>
      <c r="K41" s="31">
        <v>-0.99909999999999999</v>
      </c>
      <c r="L41" s="31">
        <v>13666.666666666666</v>
      </c>
      <c r="M41" s="31">
        <v>11216.666666666666</v>
      </c>
      <c r="N41" s="31">
        <v>5950</v>
      </c>
      <c r="O41" s="38">
        <v>30833.333333333332</v>
      </c>
    </row>
    <row r="42" spans="1:15" x14ac:dyDescent="0.3">
      <c r="A42" s="32">
        <v>46210</v>
      </c>
      <c r="B42" s="33">
        <v>0.4375</v>
      </c>
      <c r="C42" s="34">
        <v>228</v>
      </c>
      <c r="D42" s="34">
        <v>227</v>
      </c>
      <c r="E42" s="34">
        <v>227</v>
      </c>
      <c r="F42" s="35">
        <v>66.166666666666671</v>
      </c>
      <c r="G42" s="35">
        <v>47.333333333333336</v>
      </c>
      <c r="H42" s="35">
        <v>27.666666666666668</v>
      </c>
      <c r="I42" s="35">
        <v>-0.99399999999999999</v>
      </c>
      <c r="J42" s="35">
        <v>-0.98799999999999999</v>
      </c>
      <c r="K42" s="35">
        <v>0.99939999999999996</v>
      </c>
      <c r="L42" s="35">
        <v>14933.333333333334</v>
      </c>
      <c r="M42" s="35">
        <v>10616.666666666666</v>
      </c>
      <c r="N42" s="35">
        <v>6200</v>
      </c>
      <c r="O42" s="39">
        <v>31833.333333333332</v>
      </c>
    </row>
    <row r="43" spans="1:15" x14ac:dyDescent="0.3">
      <c r="A43" s="28">
        <v>46210</v>
      </c>
      <c r="B43" s="29">
        <v>0.44791666666666669</v>
      </c>
      <c r="C43" s="30">
        <v>228</v>
      </c>
      <c r="D43" s="30">
        <v>227</v>
      </c>
      <c r="E43" s="30">
        <v>227</v>
      </c>
      <c r="F43" s="31">
        <v>67.833333333333329</v>
      </c>
      <c r="G43" s="31">
        <v>47.333333333333336</v>
      </c>
      <c r="H43" s="31">
        <v>28.333333333333332</v>
      </c>
      <c r="I43" s="31">
        <v>0.99209999999999998</v>
      </c>
      <c r="J43" s="31">
        <v>-0.98809999999999998</v>
      </c>
      <c r="K43" s="31">
        <v>0.99550000000000005</v>
      </c>
      <c r="L43" s="31">
        <v>15283.333333333334</v>
      </c>
      <c r="M43" s="31">
        <v>10600</v>
      </c>
      <c r="N43" s="31">
        <v>6350</v>
      </c>
      <c r="O43" s="38">
        <v>32166.666666666668</v>
      </c>
    </row>
    <row r="44" spans="1:15" x14ac:dyDescent="0.3">
      <c r="A44" s="32">
        <v>46210</v>
      </c>
      <c r="B44" s="33">
        <v>0.45833333333333331</v>
      </c>
      <c r="C44" s="34">
        <v>227</v>
      </c>
      <c r="D44" s="34">
        <v>226</v>
      </c>
      <c r="E44" s="34">
        <v>226</v>
      </c>
      <c r="F44" s="35">
        <v>71</v>
      </c>
      <c r="G44" s="35">
        <v>51.666666666666664</v>
      </c>
      <c r="H44" s="35">
        <v>26.166666666666668</v>
      </c>
      <c r="I44" s="35">
        <v>0.99270000000000003</v>
      </c>
      <c r="J44" s="35">
        <v>-0.98970000000000002</v>
      </c>
      <c r="K44" s="35">
        <v>-0.9919</v>
      </c>
      <c r="L44" s="35">
        <v>15950</v>
      </c>
      <c r="M44" s="35">
        <v>11516.666666666666</v>
      </c>
      <c r="N44" s="35">
        <v>5833.333333333333</v>
      </c>
      <c r="O44" s="39">
        <v>33333.333333333336</v>
      </c>
    </row>
    <row r="45" spans="1:15" x14ac:dyDescent="0.3">
      <c r="A45" s="28">
        <v>46210</v>
      </c>
      <c r="B45" s="29">
        <v>0.46875</v>
      </c>
      <c r="C45" s="30">
        <v>227</v>
      </c>
      <c r="D45" s="30">
        <v>226</v>
      </c>
      <c r="E45" s="30">
        <v>227</v>
      </c>
      <c r="F45" s="31">
        <v>73</v>
      </c>
      <c r="G45" s="31">
        <v>54.166666666666664</v>
      </c>
      <c r="H45" s="31">
        <v>21.5</v>
      </c>
      <c r="I45" s="31">
        <v>0.99260000000000004</v>
      </c>
      <c r="J45" s="31">
        <v>0.99419999999999997</v>
      </c>
      <c r="K45" s="31">
        <v>0.9899</v>
      </c>
      <c r="L45" s="31">
        <v>16450</v>
      </c>
      <c r="M45" s="31">
        <v>12150</v>
      </c>
      <c r="N45" s="31">
        <v>4816.666666666667</v>
      </c>
      <c r="O45" s="38">
        <v>33333.333333333336</v>
      </c>
    </row>
    <row r="46" spans="1:15" x14ac:dyDescent="0.3">
      <c r="A46" s="32">
        <v>46210</v>
      </c>
      <c r="B46" s="33">
        <v>0.47916666666666669</v>
      </c>
      <c r="C46" s="34">
        <v>227</v>
      </c>
      <c r="D46" s="34">
        <v>227</v>
      </c>
      <c r="E46" s="34">
        <v>227</v>
      </c>
      <c r="F46" s="35">
        <v>73</v>
      </c>
      <c r="G46" s="35">
        <v>48.5</v>
      </c>
      <c r="H46" s="35">
        <v>21.333333333333332</v>
      </c>
      <c r="I46" s="35">
        <v>0.9929</v>
      </c>
      <c r="J46" s="35">
        <v>-0.98860000000000003</v>
      </c>
      <c r="K46" s="35">
        <v>0.98950000000000005</v>
      </c>
      <c r="L46" s="35">
        <v>16450</v>
      </c>
      <c r="M46" s="35">
        <v>10850</v>
      </c>
      <c r="N46" s="35">
        <v>4766.666666666667</v>
      </c>
      <c r="O46" s="39">
        <v>32000</v>
      </c>
    </row>
    <row r="47" spans="1:15" x14ac:dyDescent="0.3">
      <c r="A47" s="28">
        <v>46210</v>
      </c>
      <c r="B47" s="29">
        <v>0.48958333333333331</v>
      </c>
      <c r="C47" s="30">
        <v>228</v>
      </c>
      <c r="D47" s="30">
        <v>227</v>
      </c>
      <c r="E47" s="30">
        <v>227</v>
      </c>
      <c r="F47" s="31">
        <v>69.666666666666671</v>
      </c>
      <c r="G47" s="31">
        <v>44.5</v>
      </c>
      <c r="H47" s="31">
        <v>20.666666666666668</v>
      </c>
      <c r="I47" s="31">
        <v>0.99239999999999995</v>
      </c>
      <c r="J47" s="31">
        <v>-0.98519999999999996</v>
      </c>
      <c r="K47" s="31">
        <v>0.9879</v>
      </c>
      <c r="L47" s="31">
        <v>15683.333333333334</v>
      </c>
      <c r="M47" s="31">
        <v>9916.6666666666661</v>
      </c>
      <c r="N47" s="31">
        <v>4633.333333333333</v>
      </c>
      <c r="O47" s="38">
        <v>30166.666666666668</v>
      </c>
    </row>
    <row r="48" spans="1:15" x14ac:dyDescent="0.3">
      <c r="A48" s="32">
        <v>46210</v>
      </c>
      <c r="B48" s="33">
        <v>0.5</v>
      </c>
      <c r="C48" s="34">
        <v>229</v>
      </c>
      <c r="D48" s="34">
        <v>228</v>
      </c>
      <c r="E48" s="34">
        <v>228</v>
      </c>
      <c r="F48" s="35">
        <v>63.666666666666664</v>
      </c>
      <c r="G48" s="35">
        <v>41.5</v>
      </c>
      <c r="H48" s="35">
        <v>21.166666666666668</v>
      </c>
      <c r="I48" s="35">
        <v>0.99039999999999995</v>
      </c>
      <c r="J48" s="35">
        <v>-0.98319999999999996</v>
      </c>
      <c r="K48" s="35">
        <v>0.98839999999999995</v>
      </c>
      <c r="L48" s="35">
        <v>14400</v>
      </c>
      <c r="M48" s="35">
        <v>9300</v>
      </c>
      <c r="N48" s="35">
        <v>4750</v>
      </c>
      <c r="O48" s="39">
        <v>28500</v>
      </c>
    </row>
    <row r="49" spans="1:15" x14ac:dyDescent="0.3">
      <c r="A49" s="28">
        <v>46180</v>
      </c>
      <c r="B49" s="29">
        <v>0.51041666666666663</v>
      </c>
      <c r="C49" s="30">
        <v>235</v>
      </c>
      <c r="D49" s="30">
        <v>233</v>
      </c>
      <c r="E49" s="30">
        <v>234</v>
      </c>
      <c r="F49" s="31">
        <v>64.666666666666671</v>
      </c>
      <c r="G49" s="31">
        <v>55</v>
      </c>
      <c r="H49" s="31">
        <v>16.466666666666665</v>
      </c>
      <c r="I49" s="31">
        <v>0.99060000000000004</v>
      </c>
      <c r="J49" s="31">
        <v>0.99070000000000003</v>
      </c>
      <c r="K49" s="31">
        <v>0.98729999999999996</v>
      </c>
      <c r="L49" s="31">
        <v>15016.666666666666</v>
      </c>
      <c r="M49" s="31">
        <v>12716.666666666666</v>
      </c>
      <c r="N49" s="31">
        <v>3800</v>
      </c>
      <c r="O49" s="38">
        <v>31500</v>
      </c>
    </row>
    <row r="50" spans="1:15" x14ac:dyDescent="0.3">
      <c r="A50" s="32">
        <v>46180</v>
      </c>
      <c r="B50" s="33">
        <v>0.52083333333333337</v>
      </c>
      <c r="C50" s="34">
        <v>235</v>
      </c>
      <c r="D50" s="34">
        <v>233</v>
      </c>
      <c r="E50" s="34">
        <v>234</v>
      </c>
      <c r="F50" s="35">
        <v>63.166666666666664</v>
      </c>
      <c r="G50" s="35">
        <v>54.166666666666664</v>
      </c>
      <c r="H50" s="35">
        <v>17.166666666666668</v>
      </c>
      <c r="I50" s="35">
        <v>0.9899</v>
      </c>
      <c r="J50" s="35">
        <v>0.99009999999999998</v>
      </c>
      <c r="K50" s="35">
        <v>0.98419999999999996</v>
      </c>
      <c r="L50" s="35">
        <v>14650</v>
      </c>
      <c r="M50" s="35">
        <v>12483.333333333334</v>
      </c>
      <c r="N50" s="35">
        <v>3950</v>
      </c>
      <c r="O50" s="39">
        <v>31166.666666666668</v>
      </c>
    </row>
    <row r="51" spans="1:15" x14ac:dyDescent="0.3">
      <c r="A51" s="28">
        <v>46180</v>
      </c>
      <c r="B51" s="29">
        <v>0.53125</v>
      </c>
      <c r="C51" s="30">
        <v>235</v>
      </c>
      <c r="D51" s="30">
        <v>234</v>
      </c>
      <c r="E51" s="30">
        <v>235</v>
      </c>
      <c r="F51" s="31">
        <v>56.333333333333336</v>
      </c>
      <c r="G51" s="31">
        <v>50.833333333333336</v>
      </c>
      <c r="H51" s="31">
        <v>17.5</v>
      </c>
      <c r="I51" s="31">
        <v>0.98699999999999999</v>
      </c>
      <c r="J51" s="31">
        <v>0.99280000000000002</v>
      </c>
      <c r="K51" s="31">
        <v>0.98629999999999995</v>
      </c>
      <c r="L51" s="31">
        <v>13083.333333333334</v>
      </c>
      <c r="M51" s="31">
        <v>11733.333333333334</v>
      </c>
      <c r="N51" s="31">
        <v>4066.6666666666665</v>
      </c>
      <c r="O51" s="38">
        <v>28833.333333333299</v>
      </c>
    </row>
    <row r="52" spans="1:15" x14ac:dyDescent="0.3">
      <c r="A52" s="32">
        <v>46180</v>
      </c>
      <c r="B52" s="33">
        <v>0.54166666666666663</v>
      </c>
      <c r="C52" s="34">
        <v>235</v>
      </c>
      <c r="D52" s="34">
        <v>234</v>
      </c>
      <c r="E52" s="34">
        <v>234</v>
      </c>
      <c r="F52" s="35">
        <v>59.833333333333336</v>
      </c>
      <c r="G52" s="35">
        <v>48.833333333333336</v>
      </c>
      <c r="H52" s="35">
        <v>17</v>
      </c>
      <c r="I52" s="35">
        <v>0.98919999999999997</v>
      </c>
      <c r="J52" s="35">
        <v>-0.99609999999999999</v>
      </c>
      <c r="K52" s="35">
        <v>0.98540000000000005</v>
      </c>
      <c r="L52" s="35">
        <v>13850</v>
      </c>
      <c r="M52" s="35">
        <v>11266.666666666666</v>
      </c>
      <c r="N52" s="35">
        <v>3916.6666666666665</v>
      </c>
      <c r="O52" s="39">
        <v>29000</v>
      </c>
    </row>
    <row r="53" spans="1:15" x14ac:dyDescent="0.3">
      <c r="A53" s="28">
        <v>46180</v>
      </c>
      <c r="B53" s="29">
        <v>0.55208333333333337</v>
      </c>
      <c r="C53" s="30">
        <v>235</v>
      </c>
      <c r="D53" s="30">
        <v>233</v>
      </c>
      <c r="E53" s="30">
        <v>234</v>
      </c>
      <c r="F53" s="31">
        <v>57.333333333333336</v>
      </c>
      <c r="G53" s="31">
        <v>48.833333333333336</v>
      </c>
      <c r="H53" s="31">
        <v>16.833333333333332</v>
      </c>
      <c r="I53" s="31">
        <v>0.98799999999999999</v>
      </c>
      <c r="J53" s="31">
        <v>-0.99490000000000001</v>
      </c>
      <c r="K53" s="31">
        <v>0.98750000000000004</v>
      </c>
      <c r="L53" s="31">
        <v>13266.666666666666</v>
      </c>
      <c r="M53" s="31">
        <v>11233.333333333334</v>
      </c>
      <c r="N53" s="31">
        <v>3883.3333333333335</v>
      </c>
      <c r="O53" s="38">
        <v>28333.333333333332</v>
      </c>
    </row>
    <row r="54" spans="1:15" x14ac:dyDescent="0.3">
      <c r="A54" s="32">
        <v>46180</v>
      </c>
      <c r="B54" s="33">
        <v>0.5625</v>
      </c>
      <c r="C54" s="34">
        <v>232</v>
      </c>
      <c r="D54" s="34">
        <v>231</v>
      </c>
      <c r="E54" s="34">
        <v>231</v>
      </c>
      <c r="F54" s="35">
        <v>63.333333333333336</v>
      </c>
      <c r="G54" s="35">
        <v>48</v>
      </c>
      <c r="H54" s="35">
        <v>17.5</v>
      </c>
      <c r="I54" s="35">
        <v>0.99060000000000004</v>
      </c>
      <c r="J54" s="35">
        <v>-0.98909999999999998</v>
      </c>
      <c r="K54" s="35">
        <v>-0.99829999999999997</v>
      </c>
      <c r="L54" s="35">
        <v>14483.333333333334</v>
      </c>
      <c r="M54" s="35">
        <v>10916.666666666666</v>
      </c>
      <c r="N54" s="35">
        <v>3966.6666666666665</v>
      </c>
      <c r="O54" s="39">
        <v>29333.333333333332</v>
      </c>
    </row>
    <row r="55" spans="1:15" x14ac:dyDescent="0.3">
      <c r="A55" s="28">
        <v>46180</v>
      </c>
      <c r="B55" s="29">
        <v>0.57291666666666663</v>
      </c>
      <c r="C55" s="30">
        <v>231</v>
      </c>
      <c r="D55" s="30">
        <v>230</v>
      </c>
      <c r="E55" s="30">
        <v>231</v>
      </c>
      <c r="F55" s="31">
        <v>71</v>
      </c>
      <c r="G55" s="31">
        <v>48.333333333333336</v>
      </c>
      <c r="H55" s="31">
        <v>12.866666666666667</v>
      </c>
      <c r="I55" s="31">
        <v>0.99250000000000005</v>
      </c>
      <c r="J55" s="31">
        <v>-0.99360000000000004</v>
      </c>
      <c r="K55" s="31">
        <v>-0.95960000000000001</v>
      </c>
      <c r="L55" s="31">
        <v>16233.333333333334</v>
      </c>
      <c r="M55" s="31">
        <v>10916.666666666666</v>
      </c>
      <c r="N55" s="31">
        <v>2733.3333333333335</v>
      </c>
      <c r="O55" s="38">
        <v>29833.333333333332</v>
      </c>
    </row>
    <row r="56" spans="1:15" x14ac:dyDescent="0.3">
      <c r="A56" s="32">
        <v>46180</v>
      </c>
      <c r="B56" s="33">
        <v>0.58333333333333337</v>
      </c>
      <c r="C56" s="34">
        <v>230</v>
      </c>
      <c r="D56" s="34">
        <v>230</v>
      </c>
      <c r="E56" s="34">
        <v>230</v>
      </c>
      <c r="F56" s="35">
        <v>75.5</v>
      </c>
      <c r="G56" s="35">
        <v>50.833333333333336</v>
      </c>
      <c r="H56" s="35">
        <v>9.5</v>
      </c>
      <c r="I56" s="35">
        <v>0.99299999999999999</v>
      </c>
      <c r="J56" s="35">
        <v>-0.98980000000000001</v>
      </c>
      <c r="K56" s="35">
        <v>-0.93389999999999995</v>
      </c>
      <c r="L56" s="35">
        <v>17166.666666666668</v>
      </c>
      <c r="M56" s="35">
        <v>11566.666666666666</v>
      </c>
      <c r="N56" s="35">
        <v>2050</v>
      </c>
      <c r="O56" s="39">
        <v>30833.333333333332</v>
      </c>
    </row>
    <row r="57" spans="1:15" x14ac:dyDescent="0.3">
      <c r="A57" s="28">
        <v>46180</v>
      </c>
      <c r="B57" s="29">
        <v>0.59375</v>
      </c>
      <c r="C57" s="30">
        <v>229</v>
      </c>
      <c r="D57" s="30">
        <v>229</v>
      </c>
      <c r="E57" s="30">
        <v>229</v>
      </c>
      <c r="F57" s="31">
        <v>75.5</v>
      </c>
      <c r="G57" s="31">
        <v>47.833333333333336</v>
      </c>
      <c r="H57" s="31">
        <v>9.4499999999999993</v>
      </c>
      <c r="I57" s="31">
        <v>0.99299999999999999</v>
      </c>
      <c r="J57" s="31">
        <v>-0.98780000000000001</v>
      </c>
      <c r="K57" s="31">
        <v>-0.93420000000000003</v>
      </c>
      <c r="L57" s="31">
        <v>17150</v>
      </c>
      <c r="M57" s="31">
        <v>10766.666666666666</v>
      </c>
      <c r="N57" s="31">
        <v>2016.6666666666667</v>
      </c>
      <c r="O57" s="38">
        <v>30000</v>
      </c>
    </row>
    <row r="58" spans="1:15" x14ac:dyDescent="0.3">
      <c r="A58" s="32">
        <v>46180</v>
      </c>
      <c r="B58" s="33">
        <v>0.60416666666666663</v>
      </c>
      <c r="C58" s="34">
        <v>228</v>
      </c>
      <c r="D58" s="34">
        <v>228</v>
      </c>
      <c r="E58" s="34">
        <v>228</v>
      </c>
      <c r="F58" s="35">
        <v>82.166666666666671</v>
      </c>
      <c r="G58" s="35">
        <v>52.166666666666664</v>
      </c>
      <c r="H58" s="35">
        <v>9.25</v>
      </c>
      <c r="I58" s="35">
        <v>0.99439999999999995</v>
      </c>
      <c r="J58" s="35">
        <v>-0.99680000000000002</v>
      </c>
      <c r="K58" s="35">
        <v>-0.92949999999999999</v>
      </c>
      <c r="L58" s="35">
        <v>18616.666666666668</v>
      </c>
      <c r="M58" s="35">
        <v>11716.666666666666</v>
      </c>
      <c r="N58" s="35">
        <v>1966.6666666666667</v>
      </c>
      <c r="O58" s="39">
        <v>32333.333333333332</v>
      </c>
    </row>
    <row r="59" spans="1:15" x14ac:dyDescent="0.3">
      <c r="A59" s="28">
        <v>46180</v>
      </c>
      <c r="B59" s="29">
        <v>0.61458333333333337</v>
      </c>
      <c r="C59" s="30">
        <v>226</v>
      </c>
      <c r="D59" s="30">
        <v>226</v>
      </c>
      <c r="E59" s="30">
        <v>226</v>
      </c>
      <c r="F59" s="31">
        <v>81.833333333333329</v>
      </c>
      <c r="G59" s="31">
        <v>51.333333333333336</v>
      </c>
      <c r="H59" s="31">
        <v>12.2</v>
      </c>
      <c r="I59" s="31">
        <v>0.99480000000000002</v>
      </c>
      <c r="J59" s="31">
        <v>-0.99460000000000004</v>
      </c>
      <c r="K59" s="31">
        <v>-0.94879999999999998</v>
      </c>
      <c r="L59" s="31">
        <v>18366.666666666668</v>
      </c>
      <c r="M59" s="31">
        <v>11450</v>
      </c>
      <c r="N59" s="31">
        <v>2500</v>
      </c>
      <c r="O59" s="38">
        <v>32333.333333333332</v>
      </c>
    </row>
    <row r="60" spans="1:15" x14ac:dyDescent="0.3">
      <c r="A60" s="32">
        <v>46180</v>
      </c>
      <c r="B60" s="33">
        <v>0.625</v>
      </c>
      <c r="C60" s="34">
        <v>227</v>
      </c>
      <c r="D60" s="34">
        <v>226</v>
      </c>
      <c r="E60" s="34">
        <v>227</v>
      </c>
      <c r="F60" s="35">
        <v>81.333333333333329</v>
      </c>
      <c r="G60" s="35">
        <v>47.833333333333336</v>
      </c>
      <c r="H60" s="35">
        <v>8.5500000000000007</v>
      </c>
      <c r="I60" s="35">
        <v>0.99450000000000005</v>
      </c>
      <c r="J60" s="35">
        <v>-0.98809999999999998</v>
      </c>
      <c r="K60" s="35">
        <v>-0.91320000000000001</v>
      </c>
      <c r="L60" s="35">
        <v>18316.666666666668</v>
      </c>
      <c r="M60" s="35">
        <v>10666.666666666666</v>
      </c>
      <c r="N60" s="35">
        <v>1766.6666666666667</v>
      </c>
      <c r="O60" s="39">
        <v>30833.333333333332</v>
      </c>
    </row>
    <row r="61" spans="1:15" x14ac:dyDescent="0.3">
      <c r="A61" s="28">
        <v>46180</v>
      </c>
      <c r="B61" s="29">
        <v>0.63541666666666663</v>
      </c>
      <c r="C61" s="30">
        <v>228</v>
      </c>
      <c r="D61" s="30">
        <v>228</v>
      </c>
      <c r="E61" s="30">
        <v>228</v>
      </c>
      <c r="F61" s="31">
        <v>82.666666666666671</v>
      </c>
      <c r="G61" s="31">
        <v>47.666666666666664</v>
      </c>
      <c r="H61" s="31">
        <v>8.4499999999999993</v>
      </c>
      <c r="I61" s="31">
        <v>0.99439999999999995</v>
      </c>
      <c r="J61" s="31">
        <v>-0.98780000000000001</v>
      </c>
      <c r="K61" s="31">
        <v>-0.90949999999999998</v>
      </c>
      <c r="L61" s="31">
        <v>18716.666666666668</v>
      </c>
      <c r="M61" s="31">
        <v>10700</v>
      </c>
      <c r="N61" s="31">
        <v>1750</v>
      </c>
      <c r="O61" s="38">
        <v>31166.666666666668</v>
      </c>
    </row>
    <row r="62" spans="1:15" x14ac:dyDescent="0.3">
      <c r="A62" s="32">
        <v>46180</v>
      </c>
      <c r="B62" s="33">
        <v>0.64583333333333337</v>
      </c>
      <c r="C62" s="34">
        <v>229</v>
      </c>
      <c r="D62" s="34">
        <v>228</v>
      </c>
      <c r="E62" s="34">
        <v>229</v>
      </c>
      <c r="F62" s="35">
        <v>80.5</v>
      </c>
      <c r="G62" s="35">
        <v>50</v>
      </c>
      <c r="H62" s="35">
        <v>8.4666666666666668</v>
      </c>
      <c r="I62" s="35">
        <v>0.99370000000000003</v>
      </c>
      <c r="J62" s="35">
        <v>-0.98899999999999999</v>
      </c>
      <c r="K62" s="35">
        <v>-0.90759999999999996</v>
      </c>
      <c r="L62" s="35">
        <v>18283.333333333332</v>
      </c>
      <c r="M62" s="35">
        <v>11283.333333333334</v>
      </c>
      <c r="N62" s="35">
        <v>1766.6666666666667</v>
      </c>
      <c r="O62" s="39">
        <v>31333.333333333332</v>
      </c>
    </row>
    <row r="63" spans="1:15" x14ac:dyDescent="0.3">
      <c r="A63" s="28">
        <v>46180</v>
      </c>
      <c r="B63" s="29">
        <v>0.65625</v>
      </c>
      <c r="C63" s="30">
        <v>228</v>
      </c>
      <c r="D63" s="30">
        <v>228</v>
      </c>
      <c r="E63" s="30">
        <v>228</v>
      </c>
      <c r="F63" s="31">
        <v>82.833333333333329</v>
      </c>
      <c r="G63" s="31">
        <v>48.666666666666664</v>
      </c>
      <c r="H63" s="31">
        <v>13</v>
      </c>
      <c r="I63" s="31">
        <v>0.99429999999999996</v>
      </c>
      <c r="J63" s="31">
        <v>-0.98850000000000005</v>
      </c>
      <c r="K63" s="31">
        <v>-0.96350000000000002</v>
      </c>
      <c r="L63" s="31">
        <v>18766.666666666668</v>
      </c>
      <c r="M63" s="31">
        <v>10966.666666666666</v>
      </c>
      <c r="N63" s="31">
        <v>2716.6666666666665</v>
      </c>
      <c r="O63" s="38">
        <v>32500</v>
      </c>
    </row>
    <row r="64" spans="1:15" x14ac:dyDescent="0.3">
      <c r="A64" s="32">
        <v>46180</v>
      </c>
      <c r="B64" s="33">
        <v>0.66666666666666663</v>
      </c>
      <c r="C64" s="34">
        <v>228</v>
      </c>
      <c r="D64" s="34">
        <v>227</v>
      </c>
      <c r="E64" s="34">
        <v>228</v>
      </c>
      <c r="F64" s="35">
        <v>82.333333333333329</v>
      </c>
      <c r="G64" s="35">
        <v>47.333333333333336</v>
      </c>
      <c r="H64" s="35">
        <v>14.05</v>
      </c>
      <c r="I64" s="35">
        <v>0.99399999999999999</v>
      </c>
      <c r="J64" s="35">
        <v>-0.98699999999999999</v>
      </c>
      <c r="K64" s="35">
        <v>-0.98340000000000005</v>
      </c>
      <c r="L64" s="35">
        <v>18600</v>
      </c>
      <c r="M64" s="35">
        <v>10583.333333333334</v>
      </c>
      <c r="N64" s="35">
        <v>2983.3333333333335</v>
      </c>
      <c r="O64" s="39">
        <v>32166.666666666668</v>
      </c>
    </row>
    <row r="65" spans="1:15" x14ac:dyDescent="0.3">
      <c r="A65" s="28">
        <v>46180</v>
      </c>
      <c r="B65" s="29">
        <v>0.67708333333333337</v>
      </c>
      <c r="C65" s="30">
        <v>227</v>
      </c>
      <c r="D65" s="30">
        <v>227</v>
      </c>
      <c r="E65" s="30">
        <v>227</v>
      </c>
      <c r="F65" s="31">
        <v>78.833333333333329</v>
      </c>
      <c r="G65" s="31">
        <v>44.166666666666664</v>
      </c>
      <c r="H65" s="31">
        <v>8.15</v>
      </c>
      <c r="I65" s="31">
        <v>0.99370000000000003</v>
      </c>
      <c r="J65" s="31">
        <v>-0.98440000000000005</v>
      </c>
      <c r="K65" s="31">
        <v>-0.91169999999999995</v>
      </c>
      <c r="L65" s="31">
        <v>17733.333333333332</v>
      </c>
      <c r="M65" s="31">
        <v>9816.6666666666661</v>
      </c>
      <c r="N65" s="31">
        <v>1683.3333333333333</v>
      </c>
      <c r="O65" s="38">
        <v>29166.666666666668</v>
      </c>
    </row>
    <row r="66" spans="1:15" x14ac:dyDescent="0.3">
      <c r="A66" s="32">
        <v>46180</v>
      </c>
      <c r="B66" s="33">
        <v>0.6875</v>
      </c>
      <c r="C66" s="34">
        <v>227</v>
      </c>
      <c r="D66" s="34">
        <v>226</v>
      </c>
      <c r="E66" s="34">
        <v>227</v>
      </c>
      <c r="F66" s="35">
        <v>72.666666666666671</v>
      </c>
      <c r="G66" s="35">
        <v>40.666666666666664</v>
      </c>
      <c r="H66" s="35">
        <v>15.633333333333333</v>
      </c>
      <c r="I66" s="35">
        <v>0.99239999999999995</v>
      </c>
      <c r="J66" s="35">
        <v>-0.98229999999999995</v>
      </c>
      <c r="K66" s="35">
        <v>0.98219999999999996</v>
      </c>
      <c r="L66" s="35">
        <v>16333.333333333334</v>
      </c>
      <c r="M66" s="35">
        <v>9033.3333333333339</v>
      </c>
      <c r="N66" s="35">
        <v>3450</v>
      </c>
      <c r="O66" s="39">
        <v>28833.333333333332</v>
      </c>
    </row>
    <row r="67" spans="1:15" x14ac:dyDescent="0.3">
      <c r="A67" s="28">
        <v>46180</v>
      </c>
      <c r="B67" s="29">
        <v>0.69791666666666663</v>
      </c>
      <c r="C67" s="30">
        <v>229</v>
      </c>
      <c r="D67" s="30">
        <v>228</v>
      </c>
      <c r="E67" s="30">
        <v>228</v>
      </c>
      <c r="F67" s="31">
        <v>63</v>
      </c>
      <c r="G67" s="31">
        <v>38.5</v>
      </c>
      <c r="H67" s="31">
        <v>15.633333333333333</v>
      </c>
      <c r="I67" s="31">
        <v>0.99070000000000003</v>
      </c>
      <c r="J67" s="31">
        <v>-0.97950000000000004</v>
      </c>
      <c r="K67" s="31">
        <v>0.9788</v>
      </c>
      <c r="L67" s="31">
        <v>14166.666666666666</v>
      </c>
      <c r="M67" s="31">
        <v>8600</v>
      </c>
      <c r="N67" s="31">
        <v>3483.3333333333335</v>
      </c>
      <c r="O67" s="38">
        <v>26333.333333333332</v>
      </c>
    </row>
    <row r="68" spans="1:15" x14ac:dyDescent="0.3">
      <c r="A68" s="32">
        <v>46180</v>
      </c>
      <c r="B68" s="33">
        <v>0.70833333333333337</v>
      </c>
      <c r="C68" s="34">
        <v>228</v>
      </c>
      <c r="D68" s="34">
        <v>227</v>
      </c>
      <c r="E68" s="34">
        <v>227</v>
      </c>
      <c r="F68" s="35">
        <v>62.666666666666664</v>
      </c>
      <c r="G68" s="35">
        <v>38.333333333333336</v>
      </c>
      <c r="H68" s="35">
        <v>15.3</v>
      </c>
      <c r="I68" s="35">
        <v>0.99809999999999999</v>
      </c>
      <c r="J68" s="35">
        <v>-0.97940000000000005</v>
      </c>
      <c r="K68" s="35">
        <v>0.97760000000000002</v>
      </c>
      <c r="L68" s="35">
        <v>14050</v>
      </c>
      <c r="M68" s="35">
        <v>8500</v>
      </c>
      <c r="N68" s="35">
        <v>3400</v>
      </c>
      <c r="O68" s="39">
        <v>26000</v>
      </c>
    </row>
    <row r="69" spans="1:15" x14ac:dyDescent="0.3">
      <c r="A69" s="28">
        <v>46180</v>
      </c>
      <c r="B69" s="29">
        <v>0.71875</v>
      </c>
      <c r="C69" s="30">
        <v>226</v>
      </c>
      <c r="D69" s="30">
        <v>225</v>
      </c>
      <c r="E69" s="30">
        <v>225</v>
      </c>
      <c r="F69" s="31">
        <v>56.833333333333336</v>
      </c>
      <c r="G69" s="31">
        <v>38.5</v>
      </c>
      <c r="H69" s="31">
        <v>17</v>
      </c>
      <c r="I69" s="31">
        <v>-0.98609999999999998</v>
      </c>
      <c r="J69" s="31">
        <v>-0.98009999999999997</v>
      </c>
      <c r="K69" s="31">
        <v>0.98440000000000005</v>
      </c>
      <c r="L69" s="31">
        <v>12616.666666666666</v>
      </c>
      <c r="M69" s="31">
        <v>8516.6666666666661</v>
      </c>
      <c r="N69" s="31">
        <v>3783.3333333333335</v>
      </c>
      <c r="O69" s="38">
        <v>25000</v>
      </c>
    </row>
    <row r="70" spans="1:15" x14ac:dyDescent="0.3">
      <c r="A70" s="32">
        <v>46180</v>
      </c>
      <c r="B70" s="33">
        <v>0.72916666666666663</v>
      </c>
      <c r="C70" s="34">
        <v>228</v>
      </c>
      <c r="D70" s="34">
        <v>227</v>
      </c>
      <c r="E70" s="34">
        <v>227</v>
      </c>
      <c r="F70" s="35">
        <v>51</v>
      </c>
      <c r="G70" s="35">
        <v>38.166666666666664</v>
      </c>
      <c r="H70" s="35">
        <v>16.833333333333332</v>
      </c>
      <c r="I70" s="35">
        <v>-0.98009999999999997</v>
      </c>
      <c r="J70" s="35">
        <v>-0.97950000000000004</v>
      </c>
      <c r="K70" s="35">
        <v>0.98350000000000004</v>
      </c>
      <c r="L70" s="35">
        <v>11383.333333333334</v>
      </c>
      <c r="M70" s="35">
        <v>8450</v>
      </c>
      <c r="N70" s="35">
        <v>3733.3333333333335</v>
      </c>
      <c r="O70" s="39">
        <v>23666.666666666668</v>
      </c>
    </row>
    <row r="71" spans="1:15" x14ac:dyDescent="0.3">
      <c r="A71" s="28">
        <v>46180</v>
      </c>
      <c r="B71" s="29">
        <v>0.73958333333333337</v>
      </c>
      <c r="C71" s="30">
        <v>230</v>
      </c>
      <c r="D71" s="30">
        <v>229</v>
      </c>
      <c r="E71" s="30">
        <v>229</v>
      </c>
      <c r="F71" s="31">
        <v>46.333333333333336</v>
      </c>
      <c r="G71" s="31">
        <v>37.333333333333336</v>
      </c>
      <c r="H71" s="31">
        <v>15.466666666666667</v>
      </c>
      <c r="I71" s="31">
        <v>-0.97870000000000001</v>
      </c>
      <c r="J71" s="31">
        <v>-0.97799999999999998</v>
      </c>
      <c r="K71" s="31">
        <v>0.97909999999999997</v>
      </c>
      <c r="L71" s="31">
        <v>10383.333333333334</v>
      </c>
      <c r="M71" s="31">
        <v>8350</v>
      </c>
      <c r="N71" s="31">
        <v>3466.6666666666665</v>
      </c>
      <c r="O71" s="38">
        <v>22166.666666666668</v>
      </c>
    </row>
    <row r="72" spans="1:15" x14ac:dyDescent="0.3">
      <c r="A72" s="32">
        <v>46180</v>
      </c>
      <c r="B72" s="33">
        <v>0.75</v>
      </c>
      <c r="C72" s="34">
        <v>227</v>
      </c>
      <c r="D72" s="34">
        <v>226</v>
      </c>
      <c r="E72" s="34">
        <v>226</v>
      </c>
      <c r="F72" s="35">
        <v>45.333333333333336</v>
      </c>
      <c r="G72" s="35">
        <v>37.5</v>
      </c>
      <c r="H72" s="35">
        <v>15.933333333333334</v>
      </c>
      <c r="I72" s="35">
        <v>-0.98040000000000005</v>
      </c>
      <c r="J72" s="35">
        <v>-0.97950000000000004</v>
      </c>
      <c r="K72" s="35">
        <v>0.98240000000000005</v>
      </c>
      <c r="L72" s="35">
        <v>10033.333333333334</v>
      </c>
      <c r="M72" s="35">
        <v>8283.3333333333339</v>
      </c>
      <c r="N72" s="35">
        <v>3533.3333333333335</v>
      </c>
      <c r="O72" s="39">
        <v>21833.333333333332</v>
      </c>
    </row>
    <row r="73" spans="1:15" x14ac:dyDescent="0.3">
      <c r="A73" s="28">
        <v>46180</v>
      </c>
      <c r="B73" s="29">
        <v>0.76041666666666663</v>
      </c>
      <c r="C73" s="30">
        <v>229</v>
      </c>
      <c r="D73" s="30">
        <v>228</v>
      </c>
      <c r="E73" s="30">
        <v>228</v>
      </c>
      <c r="F73" s="31">
        <v>44.166666666666664</v>
      </c>
      <c r="G73" s="31">
        <v>36.666666666666664</v>
      </c>
      <c r="H73" s="31">
        <v>15</v>
      </c>
      <c r="I73" s="31">
        <v>0.99160000000000004</v>
      </c>
      <c r="J73" s="31">
        <v>-0.97750000000000004</v>
      </c>
      <c r="K73" s="31">
        <v>0.97660000000000002</v>
      </c>
      <c r="L73" s="31">
        <v>9850</v>
      </c>
      <c r="M73" s="31">
        <v>8183.333333333333</v>
      </c>
      <c r="N73" s="31">
        <v>3333.3333333333335</v>
      </c>
      <c r="O73" s="38">
        <v>21333.333333333332</v>
      </c>
    </row>
    <row r="74" spans="1:15" x14ac:dyDescent="0.3">
      <c r="A74" s="32">
        <v>46180</v>
      </c>
      <c r="B74" s="33">
        <v>0.77083333333333337</v>
      </c>
      <c r="C74" s="34">
        <v>229</v>
      </c>
      <c r="D74" s="34">
        <v>228</v>
      </c>
      <c r="E74" s="34">
        <v>227</v>
      </c>
      <c r="F74" s="35">
        <v>41.166666666666664</v>
      </c>
      <c r="G74" s="35">
        <v>37</v>
      </c>
      <c r="H74" s="35">
        <v>14.933333333333334</v>
      </c>
      <c r="I74" s="35">
        <v>-0.96430000000000005</v>
      </c>
      <c r="J74" s="35">
        <v>-0.97760000000000002</v>
      </c>
      <c r="K74" s="35">
        <v>0.9768</v>
      </c>
      <c r="L74" s="35">
        <v>9066.6666666666661</v>
      </c>
      <c r="M74" s="35">
        <v>8233.3333333333339</v>
      </c>
      <c r="N74" s="35">
        <v>3316.6666666666665</v>
      </c>
      <c r="O74" s="39">
        <v>20666.666666666668</v>
      </c>
    </row>
    <row r="75" spans="1:15" x14ac:dyDescent="0.3">
      <c r="A75" s="28">
        <v>46180</v>
      </c>
      <c r="B75" s="29">
        <v>0.78125</v>
      </c>
      <c r="C75" s="30">
        <v>228</v>
      </c>
      <c r="D75" s="30">
        <v>227</v>
      </c>
      <c r="E75" s="30">
        <v>227</v>
      </c>
      <c r="F75" s="31">
        <v>45</v>
      </c>
      <c r="G75" s="31">
        <v>36.666666666666664</v>
      </c>
      <c r="H75" s="31">
        <v>14.816666666666666</v>
      </c>
      <c r="I75" s="31">
        <v>-0.96079999999999999</v>
      </c>
      <c r="J75" s="31">
        <v>-0.97740000000000005</v>
      </c>
      <c r="K75" s="31">
        <v>0.97660000000000002</v>
      </c>
      <c r="L75" s="31">
        <v>9850</v>
      </c>
      <c r="M75" s="31">
        <v>8150</v>
      </c>
      <c r="N75" s="31">
        <v>3283.3333333333335</v>
      </c>
      <c r="O75" s="38">
        <v>21333.333333333332</v>
      </c>
    </row>
    <row r="76" spans="1:15" x14ac:dyDescent="0.3">
      <c r="A76" s="32">
        <v>46180</v>
      </c>
      <c r="B76" s="33">
        <v>0.79166666666666663</v>
      </c>
      <c r="C76" s="34">
        <v>228</v>
      </c>
      <c r="D76" s="34">
        <v>227</v>
      </c>
      <c r="E76" s="34">
        <v>226</v>
      </c>
      <c r="F76" s="35">
        <v>46.833333333333336</v>
      </c>
      <c r="G76" s="35">
        <v>37.166666666666664</v>
      </c>
      <c r="H76" s="35">
        <v>14.816666666666666</v>
      </c>
      <c r="I76" s="35">
        <v>-0.96419999999999995</v>
      </c>
      <c r="J76" s="35">
        <v>-0.97829999999999995</v>
      </c>
      <c r="K76" s="35">
        <v>0.97660000000000002</v>
      </c>
      <c r="L76" s="35">
        <v>10266.666666666666</v>
      </c>
      <c r="M76" s="35">
        <v>8266.6666666666661</v>
      </c>
      <c r="N76" s="35">
        <v>3266.6666666666665</v>
      </c>
      <c r="O76" s="39">
        <v>21833.333333333332</v>
      </c>
    </row>
    <row r="77" spans="1:15" x14ac:dyDescent="0.3">
      <c r="A77" s="28">
        <v>46180</v>
      </c>
      <c r="B77" s="29">
        <v>0.80208333333333337</v>
      </c>
      <c r="C77" s="30">
        <v>228</v>
      </c>
      <c r="D77" s="30">
        <v>227</v>
      </c>
      <c r="E77" s="30">
        <v>227</v>
      </c>
      <c r="F77" s="31">
        <v>46.333333333333336</v>
      </c>
      <c r="G77" s="31">
        <v>36.833333333333336</v>
      </c>
      <c r="H77" s="31">
        <v>14.883333333333333</v>
      </c>
      <c r="I77" s="31">
        <v>-0.96419999999999995</v>
      </c>
      <c r="J77" s="31">
        <v>-0.97760000000000002</v>
      </c>
      <c r="K77" s="31">
        <v>0.97719999999999996</v>
      </c>
      <c r="L77" s="31">
        <v>10183.333333333334</v>
      </c>
      <c r="M77" s="31">
        <v>8200</v>
      </c>
      <c r="N77" s="31">
        <v>3300</v>
      </c>
      <c r="O77" s="38">
        <v>21666.666666666668</v>
      </c>
    </row>
    <row r="78" spans="1:15" x14ac:dyDescent="0.3">
      <c r="A78" s="32">
        <v>46180</v>
      </c>
      <c r="B78" s="33">
        <v>0.8125</v>
      </c>
      <c r="C78" s="34">
        <v>229</v>
      </c>
      <c r="D78" s="34">
        <v>228</v>
      </c>
      <c r="E78" s="34">
        <v>227</v>
      </c>
      <c r="F78" s="35">
        <v>46</v>
      </c>
      <c r="G78" s="35">
        <v>37.166666666666664</v>
      </c>
      <c r="H78" s="35">
        <v>14.883333333333333</v>
      </c>
      <c r="I78" s="35">
        <v>-0.96389999999999998</v>
      </c>
      <c r="J78" s="35">
        <v>-0.97799999999999998</v>
      </c>
      <c r="K78" s="35">
        <v>0.97699999999999998</v>
      </c>
      <c r="L78" s="35">
        <v>10116.666666666666</v>
      </c>
      <c r="M78" s="35">
        <v>8266.6666666666661</v>
      </c>
      <c r="N78" s="35">
        <v>3300</v>
      </c>
      <c r="O78" s="39">
        <v>21666.666666666668</v>
      </c>
    </row>
    <row r="79" spans="1:15" x14ac:dyDescent="0.3">
      <c r="A79" s="28">
        <v>46180</v>
      </c>
      <c r="B79" s="29">
        <v>0.82291666666666663</v>
      </c>
      <c r="C79" s="30">
        <v>229</v>
      </c>
      <c r="D79" s="30">
        <v>228</v>
      </c>
      <c r="E79" s="30">
        <v>227</v>
      </c>
      <c r="F79" s="31">
        <v>46.166666666666664</v>
      </c>
      <c r="G79" s="31">
        <v>37.166666666666664</v>
      </c>
      <c r="H79" s="31">
        <v>14.883333333333333</v>
      </c>
      <c r="I79" s="31">
        <v>-0.96440000000000003</v>
      </c>
      <c r="J79" s="31">
        <v>-0.97840000000000005</v>
      </c>
      <c r="K79" s="31">
        <v>0.97689999999999999</v>
      </c>
      <c r="L79" s="31">
        <v>10166.666666666666</v>
      </c>
      <c r="M79" s="31">
        <v>8300</v>
      </c>
      <c r="N79" s="31">
        <v>3300</v>
      </c>
      <c r="O79" s="38">
        <v>21833.333333333332</v>
      </c>
    </row>
    <row r="80" spans="1:15" x14ac:dyDescent="0.3">
      <c r="A80" s="32">
        <v>46180</v>
      </c>
      <c r="B80" s="33">
        <v>0.83333333333333337</v>
      </c>
      <c r="C80" s="34">
        <v>231</v>
      </c>
      <c r="D80" s="34">
        <v>229</v>
      </c>
      <c r="E80" s="34">
        <v>229</v>
      </c>
      <c r="F80" s="35">
        <v>43.833333333333336</v>
      </c>
      <c r="G80" s="35">
        <v>36.833333333333336</v>
      </c>
      <c r="H80" s="35">
        <v>14.8</v>
      </c>
      <c r="I80" s="35">
        <v>-0.96009999999999995</v>
      </c>
      <c r="J80" s="35">
        <v>-0.97799999999999998</v>
      </c>
      <c r="K80" s="35">
        <v>0.97619999999999996</v>
      </c>
      <c r="L80" s="35">
        <v>9683.3333333333339</v>
      </c>
      <c r="M80" s="35">
        <v>8250</v>
      </c>
      <c r="N80" s="35">
        <v>3300</v>
      </c>
      <c r="O80" s="39">
        <v>21166.666666666668</v>
      </c>
    </row>
    <row r="81" spans="1:15" x14ac:dyDescent="0.3">
      <c r="A81" s="28">
        <v>46180</v>
      </c>
      <c r="B81" s="29">
        <v>0.84375</v>
      </c>
      <c r="C81" s="30">
        <v>233</v>
      </c>
      <c r="D81" s="30">
        <v>231</v>
      </c>
      <c r="E81" s="30">
        <v>231</v>
      </c>
      <c r="F81" s="31">
        <v>42.5</v>
      </c>
      <c r="G81" s="31">
        <v>36.333333333333336</v>
      </c>
      <c r="H81" s="31">
        <v>14.933333333333334</v>
      </c>
      <c r="I81" s="31">
        <v>-0.95640000000000003</v>
      </c>
      <c r="J81" s="31">
        <v>-0.9768</v>
      </c>
      <c r="K81" s="31">
        <v>0.97629999999999995</v>
      </c>
      <c r="L81" s="31">
        <v>9450</v>
      </c>
      <c r="M81" s="31">
        <v>8200</v>
      </c>
      <c r="N81" s="31">
        <v>3366.6666666666665</v>
      </c>
      <c r="O81" s="38">
        <v>21000</v>
      </c>
    </row>
    <row r="82" spans="1:15" x14ac:dyDescent="0.3">
      <c r="A82" s="32">
        <v>46180</v>
      </c>
      <c r="B82" s="33">
        <v>0.85416666666666663</v>
      </c>
      <c r="C82" s="34">
        <v>234</v>
      </c>
      <c r="D82" s="34">
        <v>232</v>
      </c>
      <c r="E82" s="34">
        <v>232</v>
      </c>
      <c r="F82" s="35">
        <v>43</v>
      </c>
      <c r="G82" s="35">
        <v>35.833333333333336</v>
      </c>
      <c r="H82" s="35">
        <v>14.983333333333333</v>
      </c>
      <c r="I82" s="35">
        <v>-0.95730000000000004</v>
      </c>
      <c r="J82" s="35">
        <v>-0.97550000000000003</v>
      </c>
      <c r="K82" s="35">
        <v>0.97629999999999995</v>
      </c>
      <c r="L82" s="35">
        <v>9583.3333333333339</v>
      </c>
      <c r="M82" s="35">
        <v>8133.333333333333</v>
      </c>
      <c r="N82" s="35">
        <v>3383.3333333333335</v>
      </c>
      <c r="O82" s="39">
        <v>21166.666666666668</v>
      </c>
    </row>
    <row r="83" spans="1:15" x14ac:dyDescent="0.3">
      <c r="A83" s="28">
        <v>46180</v>
      </c>
      <c r="B83" s="29">
        <v>0.86458333333333337</v>
      </c>
      <c r="C83" s="30">
        <v>233</v>
      </c>
      <c r="D83" s="30">
        <v>232</v>
      </c>
      <c r="E83" s="30">
        <v>232</v>
      </c>
      <c r="F83" s="31">
        <v>44.5</v>
      </c>
      <c r="G83" s="31">
        <v>36</v>
      </c>
      <c r="H83" s="31">
        <v>14.9</v>
      </c>
      <c r="I83" s="31">
        <v>-0.96109999999999995</v>
      </c>
      <c r="J83" s="31">
        <v>-0.9798</v>
      </c>
      <c r="K83" s="31">
        <v>0.97570000000000001</v>
      </c>
      <c r="L83" s="31">
        <v>9950</v>
      </c>
      <c r="M83" s="31">
        <v>8183.333333333333</v>
      </c>
      <c r="N83" s="31">
        <v>3366.6666666666665</v>
      </c>
      <c r="O83" s="38">
        <v>21500</v>
      </c>
    </row>
    <row r="84" spans="1:15" x14ac:dyDescent="0.3">
      <c r="A84" s="32">
        <v>46180</v>
      </c>
      <c r="B84" s="33">
        <v>0.875</v>
      </c>
      <c r="C84" s="34">
        <v>235</v>
      </c>
      <c r="D84" s="34">
        <v>234</v>
      </c>
      <c r="E84" s="34">
        <v>233</v>
      </c>
      <c r="F84" s="35">
        <v>45.666666666666664</v>
      </c>
      <c r="G84" s="35">
        <v>35.5</v>
      </c>
      <c r="H84" s="35">
        <v>14.816666666666666</v>
      </c>
      <c r="I84" s="35">
        <v>-0.96319999999999995</v>
      </c>
      <c r="J84" s="35">
        <v>-0.97540000000000004</v>
      </c>
      <c r="K84" s="35">
        <v>0.97440000000000004</v>
      </c>
      <c r="L84" s="35">
        <v>10316.666666666666</v>
      </c>
      <c r="M84" s="35">
        <v>8083.333333333333</v>
      </c>
      <c r="N84" s="35">
        <v>3366.6666666666665</v>
      </c>
      <c r="O84" s="39">
        <v>21833.333333333332</v>
      </c>
    </row>
    <row r="85" spans="1:15" x14ac:dyDescent="0.3">
      <c r="A85" s="28">
        <v>46180</v>
      </c>
      <c r="B85" s="29">
        <v>0.88541666666666663</v>
      </c>
      <c r="C85" s="30">
        <v>233</v>
      </c>
      <c r="D85" s="30">
        <v>232</v>
      </c>
      <c r="E85" s="30">
        <v>231</v>
      </c>
      <c r="F85" s="31">
        <v>46.333333333333336</v>
      </c>
      <c r="G85" s="31">
        <v>35.833333333333336</v>
      </c>
      <c r="H85" s="31">
        <v>14.883333333333333</v>
      </c>
      <c r="I85" s="31">
        <v>-0.96319999999999995</v>
      </c>
      <c r="J85" s="31">
        <v>-0.97489999999999999</v>
      </c>
      <c r="K85" s="31">
        <v>0.97560000000000002</v>
      </c>
      <c r="L85" s="31">
        <v>10383.333333333334</v>
      </c>
      <c r="M85" s="31">
        <v>8100</v>
      </c>
      <c r="N85" s="31">
        <v>3350</v>
      </c>
      <c r="O85" s="38">
        <v>21833.333333333332</v>
      </c>
    </row>
    <row r="86" spans="1:15" x14ac:dyDescent="0.3">
      <c r="A86" s="32">
        <v>46180</v>
      </c>
      <c r="B86" s="33">
        <v>0.89583333333333337</v>
      </c>
      <c r="C86" s="34">
        <v>235</v>
      </c>
      <c r="D86" s="34">
        <v>234</v>
      </c>
      <c r="E86" s="34">
        <v>233</v>
      </c>
      <c r="F86" s="35">
        <v>46.166666666666664</v>
      </c>
      <c r="G86" s="35">
        <v>35.333333333333336</v>
      </c>
      <c r="H86" s="35">
        <v>14.75</v>
      </c>
      <c r="I86" s="35">
        <v>-0.96260000000000001</v>
      </c>
      <c r="J86" s="35">
        <v>-0.97330000000000005</v>
      </c>
      <c r="K86" s="35">
        <v>0.97450000000000003</v>
      </c>
      <c r="L86" s="35">
        <v>10416.666666666666</v>
      </c>
      <c r="M86" s="35">
        <v>8033.333333333333</v>
      </c>
      <c r="N86" s="35">
        <v>3350</v>
      </c>
      <c r="O86" s="39">
        <v>21833.333333333332</v>
      </c>
    </row>
    <row r="87" spans="1:15" x14ac:dyDescent="0.3">
      <c r="A87" s="28">
        <v>46180</v>
      </c>
      <c r="B87" s="29">
        <v>0.90625</v>
      </c>
      <c r="C87" s="30">
        <v>235</v>
      </c>
      <c r="D87" s="30">
        <v>234</v>
      </c>
      <c r="E87" s="30">
        <v>233</v>
      </c>
      <c r="F87" s="31">
        <v>45.833333333333336</v>
      </c>
      <c r="G87" s="31">
        <v>35.333333333333336</v>
      </c>
      <c r="H87" s="31">
        <v>14.7</v>
      </c>
      <c r="I87" s="31">
        <v>-0.96289999999999998</v>
      </c>
      <c r="J87" s="31">
        <v>-0.97340000000000004</v>
      </c>
      <c r="K87" s="31">
        <v>0.97360000000000002</v>
      </c>
      <c r="L87" s="31">
        <v>10350</v>
      </c>
      <c r="M87" s="31">
        <v>8066.666666666667</v>
      </c>
      <c r="N87" s="31">
        <v>3333.3333333333335</v>
      </c>
      <c r="O87" s="38">
        <v>21833.333333333332</v>
      </c>
    </row>
    <row r="88" spans="1:15" x14ac:dyDescent="0.3">
      <c r="A88" s="32">
        <v>46180</v>
      </c>
      <c r="B88" s="33">
        <v>0.91666666666666663</v>
      </c>
      <c r="C88" s="34">
        <v>235</v>
      </c>
      <c r="D88" s="34">
        <v>234</v>
      </c>
      <c r="E88" s="34">
        <v>233</v>
      </c>
      <c r="F88" s="35">
        <v>45</v>
      </c>
      <c r="G88" s="35">
        <v>35.166666666666664</v>
      </c>
      <c r="H88" s="35">
        <v>14.75</v>
      </c>
      <c r="I88" s="35">
        <v>-0.96079999999999999</v>
      </c>
      <c r="J88" s="35">
        <v>-0.97299999999999998</v>
      </c>
      <c r="K88" s="35">
        <v>0.97389999999999999</v>
      </c>
      <c r="L88" s="35">
        <v>10116.666666666666</v>
      </c>
      <c r="M88" s="35">
        <v>8016.666666666667</v>
      </c>
      <c r="N88" s="35">
        <v>3350</v>
      </c>
      <c r="O88" s="39">
        <v>21500</v>
      </c>
    </row>
    <row r="89" spans="1:15" x14ac:dyDescent="0.3">
      <c r="A89" s="28">
        <v>46180</v>
      </c>
      <c r="B89" s="29">
        <v>0.92708333333333337</v>
      </c>
      <c r="C89" s="30">
        <v>233</v>
      </c>
      <c r="D89" s="30">
        <v>232</v>
      </c>
      <c r="E89" s="30">
        <v>231</v>
      </c>
      <c r="F89" s="31">
        <v>44.5</v>
      </c>
      <c r="G89" s="31">
        <v>35.166666666666664</v>
      </c>
      <c r="H89" s="31">
        <v>15.266666666666667</v>
      </c>
      <c r="I89" s="31">
        <v>-0.9607</v>
      </c>
      <c r="J89" s="31">
        <v>-0.97309999999999997</v>
      </c>
      <c r="K89" s="31">
        <v>0.97789999999999999</v>
      </c>
      <c r="L89" s="31">
        <v>9933.3333333333339</v>
      </c>
      <c r="M89" s="31">
        <v>7933.333333333333</v>
      </c>
      <c r="N89" s="31">
        <v>3450</v>
      </c>
      <c r="O89" s="38">
        <v>21333.333333333332</v>
      </c>
    </row>
    <row r="90" spans="1:15" x14ac:dyDescent="0.3">
      <c r="A90" s="32">
        <v>46180</v>
      </c>
      <c r="B90" s="33">
        <v>0.9375</v>
      </c>
      <c r="C90" s="34">
        <v>234</v>
      </c>
      <c r="D90" s="34">
        <v>233</v>
      </c>
      <c r="E90" s="34">
        <v>232</v>
      </c>
      <c r="F90" s="35">
        <v>43.333333333333336</v>
      </c>
      <c r="G90" s="35">
        <v>35</v>
      </c>
      <c r="H90" s="35">
        <v>16.033333333333335</v>
      </c>
      <c r="I90" s="35">
        <v>-0.9587</v>
      </c>
      <c r="J90" s="35">
        <v>-0.97209999999999996</v>
      </c>
      <c r="K90" s="35">
        <v>0.97989999999999999</v>
      </c>
      <c r="L90" s="35">
        <v>9716.6666666666661</v>
      </c>
      <c r="M90" s="35">
        <v>7933.333333333333</v>
      </c>
      <c r="N90" s="35">
        <v>3650</v>
      </c>
      <c r="O90" s="39">
        <v>21333.333333333332</v>
      </c>
    </row>
    <row r="91" spans="1:15" x14ac:dyDescent="0.3">
      <c r="A91" s="28">
        <v>46180</v>
      </c>
      <c r="B91" s="29">
        <v>0.94791666666666663</v>
      </c>
      <c r="C91" s="30">
        <v>234</v>
      </c>
      <c r="D91" s="30">
        <v>233</v>
      </c>
      <c r="E91" s="30">
        <v>232</v>
      </c>
      <c r="F91" s="31">
        <v>43.666666666666664</v>
      </c>
      <c r="G91" s="31">
        <v>35</v>
      </c>
      <c r="H91" s="31">
        <v>17.5</v>
      </c>
      <c r="I91" s="31">
        <v>-0.95889999999999997</v>
      </c>
      <c r="J91" s="31">
        <v>-0.97250000000000003</v>
      </c>
      <c r="K91" s="31">
        <v>0.98599999999999999</v>
      </c>
      <c r="L91" s="31">
        <v>9750</v>
      </c>
      <c r="M91" s="31">
        <v>7916.666666666667</v>
      </c>
      <c r="N91" s="31">
        <v>4016.6666666666665</v>
      </c>
      <c r="O91" s="38">
        <v>21666.666666666668</v>
      </c>
    </row>
    <row r="92" spans="1:15" x14ac:dyDescent="0.3">
      <c r="A92" s="32">
        <v>46180</v>
      </c>
      <c r="B92" s="33">
        <v>0.95833333333333337</v>
      </c>
      <c r="C92" s="34">
        <v>234</v>
      </c>
      <c r="D92" s="34">
        <v>233</v>
      </c>
      <c r="E92" s="34">
        <v>232</v>
      </c>
      <c r="F92" s="35">
        <v>43</v>
      </c>
      <c r="G92" s="35">
        <v>35.333333333333336</v>
      </c>
      <c r="H92" s="35">
        <v>17.333333333333332</v>
      </c>
      <c r="I92" s="35">
        <v>-0.95799999999999996</v>
      </c>
      <c r="J92" s="35">
        <v>-0.97330000000000005</v>
      </c>
      <c r="K92" s="35">
        <v>0.98540000000000005</v>
      </c>
      <c r="L92" s="35">
        <v>9600</v>
      </c>
      <c r="M92" s="35">
        <v>8000</v>
      </c>
      <c r="N92" s="35">
        <v>3950</v>
      </c>
      <c r="O92" s="39">
        <v>21500</v>
      </c>
    </row>
    <row r="93" spans="1:15" x14ac:dyDescent="0.3">
      <c r="A93" s="28">
        <v>46180</v>
      </c>
      <c r="B93" s="29">
        <v>0.96875</v>
      </c>
      <c r="C93" s="30">
        <v>234</v>
      </c>
      <c r="D93" s="30">
        <v>233</v>
      </c>
      <c r="E93" s="30">
        <v>232</v>
      </c>
      <c r="F93" s="31">
        <v>42.666666666666664</v>
      </c>
      <c r="G93" s="31">
        <v>35.333333333333336</v>
      </c>
      <c r="H93" s="31">
        <v>19.333333333333332</v>
      </c>
      <c r="I93" s="31">
        <v>-0.95789999999999997</v>
      </c>
      <c r="J93" s="31">
        <v>-0.97340000000000004</v>
      </c>
      <c r="K93" s="31">
        <v>0.98970000000000002</v>
      </c>
      <c r="L93" s="31">
        <v>9566.6666666666661</v>
      </c>
      <c r="M93" s="31">
        <v>8016.666666666667</v>
      </c>
      <c r="N93" s="31">
        <v>4433.333333333333</v>
      </c>
      <c r="O93" s="38">
        <v>22000</v>
      </c>
    </row>
    <row r="94" spans="1:15" x14ac:dyDescent="0.3">
      <c r="A94" s="32">
        <v>46180</v>
      </c>
      <c r="B94" s="33">
        <v>0.97916666666666663</v>
      </c>
      <c r="C94" s="34">
        <v>234</v>
      </c>
      <c r="D94" s="34">
        <v>233</v>
      </c>
      <c r="E94" s="34">
        <v>232</v>
      </c>
      <c r="F94" s="35">
        <v>42.833333333333336</v>
      </c>
      <c r="G94" s="35">
        <v>35.5</v>
      </c>
      <c r="H94" s="35">
        <v>18.833333333333332</v>
      </c>
      <c r="I94" s="35">
        <v>-0.95779999999999998</v>
      </c>
      <c r="J94" s="35">
        <v>-0.97360000000000002</v>
      </c>
      <c r="K94" s="35">
        <v>0.98909999999999998</v>
      </c>
      <c r="L94" s="35">
        <v>9583.3333333333339</v>
      </c>
      <c r="M94" s="35">
        <v>8033.333333333333</v>
      </c>
      <c r="N94" s="35">
        <v>4300</v>
      </c>
      <c r="O94" s="39">
        <v>22000</v>
      </c>
    </row>
    <row r="95" spans="1:15" x14ac:dyDescent="0.3">
      <c r="A95" s="28">
        <v>46180</v>
      </c>
      <c r="B95" s="29">
        <v>0.98958333333333337</v>
      </c>
      <c r="C95" s="30">
        <v>236</v>
      </c>
      <c r="D95" s="30">
        <v>235</v>
      </c>
      <c r="E95" s="30">
        <v>234</v>
      </c>
      <c r="F95" s="31">
        <v>42.5</v>
      </c>
      <c r="G95" s="31">
        <v>35.333333333333336</v>
      </c>
      <c r="H95" s="31">
        <v>17.833333333333332</v>
      </c>
      <c r="I95" s="31">
        <v>-0.95609999999999995</v>
      </c>
      <c r="J95" s="31">
        <v>-0.97430000000000005</v>
      </c>
      <c r="K95" s="31">
        <v>0.98729999999999996</v>
      </c>
      <c r="L95" s="31">
        <v>9533.3333333333339</v>
      </c>
      <c r="M95" s="31">
        <v>8050</v>
      </c>
      <c r="N95" s="31">
        <v>4133.333333333333</v>
      </c>
      <c r="O95" s="38">
        <v>21666.666666666668</v>
      </c>
    </row>
    <row r="96" spans="1:15" x14ac:dyDescent="0.3">
      <c r="A96" s="32">
        <v>46210</v>
      </c>
      <c r="B96" s="33">
        <v>0</v>
      </c>
      <c r="C96" s="34">
        <v>233</v>
      </c>
      <c r="D96" s="34">
        <v>232</v>
      </c>
      <c r="E96" s="34">
        <v>231</v>
      </c>
      <c r="F96" s="35">
        <v>42.833333333333336</v>
      </c>
      <c r="G96" s="35">
        <v>33.5</v>
      </c>
      <c r="H96" s="35">
        <v>18</v>
      </c>
      <c r="I96" s="35">
        <v>-0.95730000000000004</v>
      </c>
      <c r="J96" s="35">
        <v>-0.96809999999999996</v>
      </c>
      <c r="K96" s="35">
        <v>0.98850000000000005</v>
      </c>
      <c r="L96" s="35">
        <v>9516.6666666666661</v>
      </c>
      <c r="M96" s="35">
        <v>7483.333333333333</v>
      </c>
      <c r="N96" s="35">
        <v>4116.666666666667</v>
      </c>
      <c r="O96" s="39">
        <v>21166.666666666668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4C551-5E47-4C0B-BF24-12ADF1ACEAFD}">
  <dimension ref="A1:S93"/>
  <sheetViews>
    <sheetView workbookViewId="0">
      <selection sqref="A1:S93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86" t="s">
        <v>11</v>
      </c>
      <c r="M1" s="86" t="s">
        <v>12</v>
      </c>
      <c r="N1" s="86" t="s">
        <v>13</v>
      </c>
      <c r="O1" s="1" t="s">
        <v>14</v>
      </c>
      <c r="P1" s="87" t="s">
        <v>133</v>
      </c>
      <c r="Q1" s="87" t="s">
        <v>134</v>
      </c>
      <c r="R1" s="87" t="s">
        <v>135</v>
      </c>
      <c r="S1" s="87" t="s">
        <v>136</v>
      </c>
    </row>
    <row r="2" spans="1:19" x14ac:dyDescent="0.3">
      <c r="A2" s="2">
        <v>46241</v>
      </c>
      <c r="B2" s="3">
        <v>1.0416666666666666E-2</v>
      </c>
      <c r="C2">
        <v>234</v>
      </c>
      <c r="D2">
        <v>231</v>
      </c>
      <c r="E2">
        <v>232</v>
      </c>
      <c r="F2" s="1">
        <v>11.583333333333334</v>
      </c>
      <c r="G2" s="1">
        <v>9.9333333333333336</v>
      </c>
      <c r="H2" s="1">
        <v>11.583333333333334</v>
      </c>
      <c r="I2" s="1">
        <v>-0.97860000000000003</v>
      </c>
      <c r="J2" s="1">
        <v>-0.39610000000000001</v>
      </c>
      <c r="K2" s="1">
        <v>0.55840000000000001</v>
      </c>
      <c r="L2" s="1">
        <v>2650</v>
      </c>
      <c r="M2" s="1">
        <v>916.66666666666663</v>
      </c>
      <c r="N2" s="1">
        <v>1500</v>
      </c>
      <c r="O2" s="1">
        <f>(Table3[[#This Row],[P1_AVG (W)]]+Table3[[#This Row],[P2_AVG (W)]]+Table3[[#This Row],[P3_AVG (W)]])</f>
        <v>5066.6666666666661</v>
      </c>
      <c r="P2" s="1">
        <f>ABS(Table3[[#This Row],[P1_AVG (W)]])</f>
        <v>2650</v>
      </c>
      <c r="Q2" s="1">
        <f>ABS(Table3[[#This Row],[P2_AVG (W)]])</f>
        <v>916.66666666666663</v>
      </c>
      <c r="R2" s="1">
        <f>ABS(Table3[[#This Row],[P3_AVG (W)]])</f>
        <v>1500</v>
      </c>
      <c r="S2" s="1">
        <f>SUM(Table3[[#This Row],[P1_AVG (W)2]:[P3_AVG (W)2]])</f>
        <v>5066.6666666666661</v>
      </c>
    </row>
    <row r="3" spans="1:19" x14ac:dyDescent="0.3">
      <c r="A3" s="2">
        <v>46241</v>
      </c>
      <c r="B3" s="3">
        <v>2.0833333333333332E-2</v>
      </c>
      <c r="C3">
        <v>232</v>
      </c>
      <c r="D3">
        <v>229</v>
      </c>
      <c r="E3">
        <v>230</v>
      </c>
      <c r="F3" s="1">
        <v>10.666666666666666</v>
      </c>
      <c r="G3" s="1">
        <v>9.8000000000000007</v>
      </c>
      <c r="H3" s="1">
        <v>11.383333333333333</v>
      </c>
      <c r="I3" s="1">
        <v>-0.98870000000000002</v>
      </c>
      <c r="J3" s="1">
        <v>-0.39429999999999998</v>
      </c>
      <c r="K3" s="1">
        <v>0.5585</v>
      </c>
      <c r="L3" s="1">
        <v>2433.3333333333298</v>
      </c>
      <c r="M3" s="1">
        <v>883.33333333333337</v>
      </c>
      <c r="N3" s="1">
        <v>1466.6666666666667</v>
      </c>
      <c r="O3" s="1">
        <f>(Table3[[#This Row],[P1_AVG (W)]]+Table3[[#This Row],[P2_AVG (W)]]+Table3[[#This Row],[P3_AVG (W)]])</f>
        <v>4783.3333333333303</v>
      </c>
      <c r="P3" s="1">
        <f>ABS(Table3[[#This Row],[P1_AVG (W)]])</f>
        <v>2433.3333333333298</v>
      </c>
      <c r="Q3" s="1">
        <f>ABS(Table3[[#This Row],[P2_AVG (W)]])</f>
        <v>883.33333333333337</v>
      </c>
      <c r="R3" s="1">
        <f>ABS(Table3[[#This Row],[P3_AVG (W)]])</f>
        <v>1466.6666666666667</v>
      </c>
      <c r="S3" s="1">
        <f>SUM(Table3[[#This Row],[P1_AVG (W)2]:[P3_AVG (W)2]])</f>
        <v>4783.3333333333303</v>
      </c>
    </row>
    <row r="4" spans="1:19" x14ac:dyDescent="0.3">
      <c r="A4" s="2">
        <v>46241</v>
      </c>
      <c r="B4" s="3">
        <v>3.125E-2</v>
      </c>
      <c r="C4">
        <v>230</v>
      </c>
      <c r="D4">
        <v>228</v>
      </c>
      <c r="E4">
        <v>229</v>
      </c>
      <c r="F4" s="1">
        <v>10.15</v>
      </c>
      <c r="G4" s="1">
        <v>9.2833333333333332</v>
      </c>
      <c r="H4" s="1">
        <v>10.8</v>
      </c>
      <c r="I4" s="1">
        <v>-0.98760000000000003</v>
      </c>
      <c r="J4" s="1">
        <v>-0.38840000000000002</v>
      </c>
      <c r="K4" s="1">
        <v>0.56079999999999997</v>
      </c>
      <c r="L4" s="1">
        <v>2300</v>
      </c>
      <c r="M4" s="1">
        <v>816.66666666666663</v>
      </c>
      <c r="N4" s="1">
        <v>1383.3333333333333</v>
      </c>
      <c r="O4" s="1">
        <f>(Table3[[#This Row],[P1_AVG (W)]]+Table3[[#This Row],[P2_AVG (W)]]+Table3[[#This Row],[P3_AVG (W)]])</f>
        <v>4500</v>
      </c>
      <c r="P4" s="1">
        <f>ABS(Table3[[#This Row],[P1_AVG (W)]])</f>
        <v>2300</v>
      </c>
      <c r="Q4" s="1">
        <f>ABS(Table3[[#This Row],[P2_AVG (W)]])</f>
        <v>816.66666666666663</v>
      </c>
      <c r="R4" s="1">
        <f>ABS(Table3[[#This Row],[P3_AVG (W)]])</f>
        <v>1383.3333333333333</v>
      </c>
      <c r="S4" s="1">
        <f>SUM(Table3[[#This Row],[P1_AVG (W)2]:[P3_AVG (W)2]])</f>
        <v>4500</v>
      </c>
    </row>
    <row r="5" spans="1:19" x14ac:dyDescent="0.3">
      <c r="A5" s="2">
        <v>46241</v>
      </c>
      <c r="B5" s="3">
        <v>4.1666666666666664E-2</v>
      </c>
      <c r="C5">
        <v>231</v>
      </c>
      <c r="D5">
        <v>228</v>
      </c>
      <c r="E5">
        <v>229</v>
      </c>
      <c r="F5" s="1">
        <v>10.1</v>
      </c>
      <c r="G5" s="1">
        <v>9.25</v>
      </c>
      <c r="H5" s="1">
        <v>10.7</v>
      </c>
      <c r="I5" s="1">
        <v>-0.98740000000000006</v>
      </c>
      <c r="J5" s="1">
        <v>-0.38650000000000001</v>
      </c>
      <c r="K5" s="1">
        <v>0.5605</v>
      </c>
      <c r="L5" s="1">
        <v>2300</v>
      </c>
      <c r="M5" s="1">
        <v>816.66666666666663</v>
      </c>
      <c r="N5" s="1">
        <v>1366.6666666666667</v>
      </c>
      <c r="O5" s="1">
        <f>(Table3[[#This Row],[P1_AVG (W)]]+Table3[[#This Row],[P2_AVG (W)]]+Table3[[#This Row],[P3_AVG (W)]])</f>
        <v>4483.333333333333</v>
      </c>
      <c r="P5" s="1">
        <f>ABS(Table3[[#This Row],[P1_AVG (W)]])</f>
        <v>2300</v>
      </c>
      <c r="Q5" s="1">
        <f>ABS(Table3[[#This Row],[P2_AVG (W)]])</f>
        <v>816.66666666666663</v>
      </c>
      <c r="R5" s="1">
        <f>ABS(Table3[[#This Row],[P3_AVG (W)]])</f>
        <v>1366.6666666666667</v>
      </c>
      <c r="S5" s="1">
        <f>SUM(Table3[[#This Row],[P1_AVG (W)2]:[P3_AVG (W)2]])</f>
        <v>4483.333333333333</v>
      </c>
    </row>
    <row r="6" spans="1:19" x14ac:dyDescent="0.3">
      <c r="A6" s="2">
        <v>46241</v>
      </c>
      <c r="B6" s="3">
        <v>5.2083333333333336E-2</v>
      </c>
      <c r="C6">
        <v>231</v>
      </c>
      <c r="D6">
        <v>229</v>
      </c>
      <c r="E6">
        <v>229</v>
      </c>
      <c r="F6" s="1">
        <v>9.6666666666666661</v>
      </c>
      <c r="G6" s="1">
        <v>8.8000000000000007</v>
      </c>
      <c r="H6" s="1">
        <v>10.283333333333333</v>
      </c>
      <c r="I6" s="1">
        <v>-0.98599999999999999</v>
      </c>
      <c r="J6" s="1">
        <v>-0.37880000000000003</v>
      </c>
      <c r="K6" s="1">
        <v>0.56310000000000004</v>
      </c>
      <c r="L6" s="1">
        <v>2200</v>
      </c>
      <c r="M6" s="1">
        <v>766.66666666666663</v>
      </c>
      <c r="N6" s="1">
        <v>1333.3333333333333</v>
      </c>
      <c r="O6" s="1">
        <f>(Table3[[#This Row],[P1_AVG (W)]]+Table3[[#This Row],[P2_AVG (W)]]+Table3[[#This Row],[P3_AVG (W)]])</f>
        <v>4300</v>
      </c>
      <c r="P6" s="1">
        <f>ABS(Table3[[#This Row],[P1_AVG (W)]])</f>
        <v>2200</v>
      </c>
      <c r="Q6" s="1">
        <f>ABS(Table3[[#This Row],[P2_AVG (W)]])</f>
        <v>766.66666666666663</v>
      </c>
      <c r="R6" s="1">
        <f>ABS(Table3[[#This Row],[P3_AVG (W)]])</f>
        <v>1333.3333333333333</v>
      </c>
      <c r="S6" s="1">
        <f>SUM(Table3[[#This Row],[P1_AVG (W)2]:[P3_AVG (W)2]])</f>
        <v>4300</v>
      </c>
    </row>
    <row r="7" spans="1:19" x14ac:dyDescent="0.3">
      <c r="A7" s="2">
        <v>46241</v>
      </c>
      <c r="B7" s="3">
        <v>6.25E-2</v>
      </c>
      <c r="C7">
        <v>231</v>
      </c>
      <c r="D7">
        <v>229</v>
      </c>
      <c r="E7">
        <v>230</v>
      </c>
      <c r="F7" s="1">
        <v>9.4333333333333336</v>
      </c>
      <c r="G7" s="1">
        <v>8.5833333333333339</v>
      </c>
      <c r="H7" s="1">
        <v>10.033333333333333</v>
      </c>
      <c r="I7" s="1">
        <v>-0.98519999999999996</v>
      </c>
      <c r="J7" s="1">
        <v>-0.37569999999999998</v>
      </c>
      <c r="K7" s="1">
        <v>0.56530000000000002</v>
      </c>
      <c r="L7" s="1">
        <v>2150</v>
      </c>
      <c r="M7" s="1">
        <v>733.33333333333337</v>
      </c>
      <c r="N7" s="1">
        <v>1300</v>
      </c>
      <c r="O7" s="1">
        <f>(Table3[[#This Row],[P1_AVG (W)]]+Table3[[#This Row],[P2_AVG (W)]]+Table3[[#This Row],[P3_AVG (W)]])</f>
        <v>4183.3333333333339</v>
      </c>
      <c r="P7" s="1">
        <f>ABS(Table3[[#This Row],[P1_AVG (W)]])</f>
        <v>2150</v>
      </c>
      <c r="Q7" s="1">
        <f>ABS(Table3[[#This Row],[P2_AVG (W)]])</f>
        <v>733.33333333333337</v>
      </c>
      <c r="R7" s="1">
        <f>ABS(Table3[[#This Row],[P3_AVG (W)]])</f>
        <v>1300</v>
      </c>
      <c r="S7" s="1">
        <f>SUM(Table3[[#This Row],[P1_AVG (W)2]:[P3_AVG (W)2]])</f>
        <v>4183.3333333333339</v>
      </c>
    </row>
    <row r="8" spans="1:19" x14ac:dyDescent="0.3">
      <c r="A8" s="2">
        <v>46241</v>
      </c>
      <c r="B8" s="3">
        <v>7.2916666666666671E-2</v>
      </c>
      <c r="C8">
        <v>232</v>
      </c>
      <c r="D8">
        <v>229</v>
      </c>
      <c r="E8">
        <v>230</v>
      </c>
      <c r="F8" s="1">
        <v>9.25</v>
      </c>
      <c r="G8" s="1">
        <v>8.4</v>
      </c>
      <c r="H8" s="1">
        <v>9.8666666666666671</v>
      </c>
      <c r="I8" s="1">
        <v>-0.98470000000000002</v>
      </c>
      <c r="J8" s="1">
        <v>-0.37290000000000001</v>
      </c>
      <c r="K8" s="1">
        <v>0.56699999999999995</v>
      </c>
      <c r="L8" s="1">
        <v>2116.6666666666702</v>
      </c>
      <c r="M8" s="1">
        <v>716.66666666666663</v>
      </c>
      <c r="N8" s="1">
        <v>1283.3333333333333</v>
      </c>
      <c r="O8" s="1">
        <f>(Table3[[#This Row],[P1_AVG (W)]]+Table3[[#This Row],[P2_AVG (W)]]+Table3[[#This Row],[P3_AVG (W)]])</f>
        <v>4116.6666666666697</v>
      </c>
      <c r="P8" s="1">
        <f>ABS(Table3[[#This Row],[P1_AVG (W)]])</f>
        <v>2116.6666666666702</v>
      </c>
      <c r="Q8" s="1">
        <f>ABS(Table3[[#This Row],[P2_AVG (W)]])</f>
        <v>716.66666666666663</v>
      </c>
      <c r="R8" s="1">
        <f>ABS(Table3[[#This Row],[P3_AVG (W)]])</f>
        <v>1283.3333333333333</v>
      </c>
      <c r="S8" s="1">
        <f>SUM(Table3[[#This Row],[P1_AVG (W)2]:[P3_AVG (W)2]])</f>
        <v>4116.6666666666697</v>
      </c>
    </row>
    <row r="9" spans="1:19" x14ac:dyDescent="0.3">
      <c r="A9" s="2">
        <v>46241</v>
      </c>
      <c r="B9" s="3">
        <v>8.3333333333333329E-2</v>
      </c>
      <c r="C9">
        <v>232</v>
      </c>
      <c r="D9">
        <v>229</v>
      </c>
      <c r="E9">
        <v>230</v>
      </c>
      <c r="F9" s="1">
        <v>9.1666666666666661</v>
      </c>
      <c r="G9" s="1">
        <v>8.3166666666666664</v>
      </c>
      <c r="H9" s="1">
        <v>9.8000000000000007</v>
      </c>
      <c r="I9" s="1">
        <v>-0.98450000000000004</v>
      </c>
      <c r="J9" s="1">
        <v>-0.37240000000000001</v>
      </c>
      <c r="K9" s="1">
        <v>0.56779999999999997</v>
      </c>
      <c r="L9" s="1">
        <v>2083.3333333333298</v>
      </c>
      <c r="M9" s="1">
        <v>716.66666666666663</v>
      </c>
      <c r="N9" s="1">
        <v>1283.3333333333333</v>
      </c>
      <c r="O9" s="1">
        <f>(Table3[[#This Row],[P1_AVG (W)]]+Table3[[#This Row],[P2_AVG (W)]]+Table3[[#This Row],[P3_AVG (W)]])</f>
        <v>4083.3333333333294</v>
      </c>
      <c r="P9" s="1">
        <f>ABS(Table3[[#This Row],[P1_AVG (W)]])</f>
        <v>2083.3333333333298</v>
      </c>
      <c r="Q9" s="1">
        <f>ABS(Table3[[#This Row],[P2_AVG (W)]])</f>
        <v>716.66666666666663</v>
      </c>
      <c r="R9" s="1">
        <f>ABS(Table3[[#This Row],[P3_AVG (W)]])</f>
        <v>1283.3333333333333</v>
      </c>
      <c r="S9" s="1">
        <f>SUM(Table3[[#This Row],[P1_AVG (W)2]:[P3_AVG (W)2]])</f>
        <v>4083.3333333333294</v>
      </c>
    </row>
    <row r="10" spans="1:19" x14ac:dyDescent="0.3">
      <c r="A10" s="2">
        <v>46241</v>
      </c>
      <c r="B10" s="3">
        <v>9.375E-2</v>
      </c>
      <c r="C10">
        <v>232</v>
      </c>
      <c r="D10">
        <v>230</v>
      </c>
      <c r="E10">
        <v>231</v>
      </c>
      <c r="F10" s="1">
        <v>8.5833333333333339</v>
      </c>
      <c r="G10" s="1">
        <v>7.75</v>
      </c>
      <c r="H10" s="1">
        <v>9.2166666666666668</v>
      </c>
      <c r="I10" s="1">
        <v>-0.98240000000000005</v>
      </c>
      <c r="J10" s="1">
        <v>-0.36059999999999998</v>
      </c>
      <c r="K10" s="1">
        <v>0.57269999999999999</v>
      </c>
      <c r="L10" s="1">
        <v>1966.6666666666699</v>
      </c>
      <c r="M10" s="1">
        <v>650</v>
      </c>
      <c r="N10" s="1">
        <v>1216.6666666666667</v>
      </c>
      <c r="O10" s="1">
        <f>(Table3[[#This Row],[P1_AVG (W)]]+Table3[[#This Row],[P2_AVG (W)]]+Table3[[#This Row],[P3_AVG (W)]])</f>
        <v>3833.3333333333367</v>
      </c>
      <c r="P10" s="1">
        <f>ABS(Table3[[#This Row],[P1_AVG (W)]])</f>
        <v>1966.6666666666699</v>
      </c>
      <c r="Q10" s="1">
        <f>ABS(Table3[[#This Row],[P2_AVG (W)]])</f>
        <v>650</v>
      </c>
      <c r="R10" s="1">
        <f>ABS(Table3[[#This Row],[P3_AVG (W)]])</f>
        <v>1216.6666666666667</v>
      </c>
      <c r="S10" s="1">
        <f>SUM(Table3[[#This Row],[P1_AVG (W)2]:[P3_AVG (W)2]])</f>
        <v>3833.3333333333367</v>
      </c>
    </row>
    <row r="11" spans="1:19" x14ac:dyDescent="0.3">
      <c r="A11" s="2">
        <v>46241</v>
      </c>
      <c r="B11" s="3">
        <v>0.10416666666666667</v>
      </c>
      <c r="C11">
        <v>233</v>
      </c>
      <c r="D11">
        <v>231</v>
      </c>
      <c r="E11">
        <v>232</v>
      </c>
      <c r="F11" s="1">
        <v>8.1333333333333329</v>
      </c>
      <c r="G11" s="1">
        <v>7.2833333333333332</v>
      </c>
      <c r="H11" s="1">
        <v>8.7666666666666675</v>
      </c>
      <c r="I11" s="1">
        <v>-0.98009999999999997</v>
      </c>
      <c r="J11" s="1">
        <v>-0.34610000000000002</v>
      </c>
      <c r="K11" s="1">
        <v>0.57630000000000003</v>
      </c>
      <c r="L11" s="1">
        <v>1850</v>
      </c>
      <c r="M11" s="1">
        <v>583.33333333333337</v>
      </c>
      <c r="N11" s="1">
        <v>1166.6666666666667</v>
      </c>
      <c r="O11" s="1">
        <f>(Table3[[#This Row],[P1_AVG (W)]]+Table3[[#This Row],[P2_AVG (W)]]+Table3[[#This Row],[P3_AVG (W)]])</f>
        <v>3600</v>
      </c>
      <c r="P11" s="1">
        <f>ABS(Table3[[#This Row],[P1_AVG (W)]])</f>
        <v>1850</v>
      </c>
      <c r="Q11" s="1">
        <f>ABS(Table3[[#This Row],[P2_AVG (W)]])</f>
        <v>583.33333333333337</v>
      </c>
      <c r="R11" s="1">
        <f>ABS(Table3[[#This Row],[P3_AVG (W)]])</f>
        <v>1166.6666666666667</v>
      </c>
      <c r="S11" s="1">
        <f>SUM(Table3[[#This Row],[P1_AVG (W)2]:[P3_AVG (W)2]])</f>
        <v>3600</v>
      </c>
    </row>
    <row r="12" spans="1:19" x14ac:dyDescent="0.3">
      <c r="A12" s="2">
        <v>46241</v>
      </c>
      <c r="B12" s="3">
        <v>0.11458333333333333</v>
      </c>
      <c r="C12">
        <v>234</v>
      </c>
      <c r="D12">
        <v>231</v>
      </c>
      <c r="E12">
        <v>232</v>
      </c>
      <c r="F12" s="1">
        <v>8.1666666666666661</v>
      </c>
      <c r="G12" s="1">
        <v>7.2833333333333332</v>
      </c>
      <c r="H12" s="1">
        <v>8.8000000000000007</v>
      </c>
      <c r="I12" s="1">
        <v>-0.98</v>
      </c>
      <c r="J12" s="1">
        <v>-0.34539999999999998</v>
      </c>
      <c r="K12" s="1">
        <v>0.57640000000000002</v>
      </c>
      <c r="L12" s="1">
        <v>1866.6666666666699</v>
      </c>
      <c r="M12" s="1">
        <v>583.33333333333337</v>
      </c>
      <c r="N12" s="1">
        <v>1183.3333333333333</v>
      </c>
      <c r="O12" s="1">
        <f>(Table3[[#This Row],[P1_AVG (W)]]+Table3[[#This Row],[P2_AVG (W)]]+Table3[[#This Row],[P3_AVG (W)]])</f>
        <v>3633.3333333333367</v>
      </c>
      <c r="P12" s="1">
        <f>ABS(Table3[[#This Row],[P1_AVG (W)]])</f>
        <v>1866.6666666666699</v>
      </c>
      <c r="Q12" s="1">
        <f>ABS(Table3[[#This Row],[P2_AVG (W)]])</f>
        <v>583.33333333333337</v>
      </c>
      <c r="R12" s="1">
        <f>ABS(Table3[[#This Row],[P3_AVG (W)]])</f>
        <v>1183.3333333333333</v>
      </c>
      <c r="S12" s="1">
        <f>SUM(Table3[[#This Row],[P1_AVG (W)2]:[P3_AVG (W)2]])</f>
        <v>3633.3333333333367</v>
      </c>
    </row>
    <row r="13" spans="1:19" x14ac:dyDescent="0.3">
      <c r="A13" s="2">
        <v>46241</v>
      </c>
      <c r="B13" s="3">
        <v>0.125</v>
      </c>
      <c r="C13">
        <v>234</v>
      </c>
      <c r="D13">
        <v>232</v>
      </c>
      <c r="E13">
        <v>233</v>
      </c>
      <c r="F13" s="1">
        <v>8.0833333333333339</v>
      </c>
      <c r="G13" s="1">
        <v>7.2333333333333334</v>
      </c>
      <c r="H13" s="1">
        <v>8.7333333333333325</v>
      </c>
      <c r="I13" s="1">
        <v>-0.97960000000000003</v>
      </c>
      <c r="J13" s="1">
        <v>-0.34420000000000001</v>
      </c>
      <c r="K13" s="1">
        <v>0.57789999999999997</v>
      </c>
      <c r="L13" s="1">
        <v>1850</v>
      </c>
      <c r="M13" s="1">
        <v>583.33333333333337</v>
      </c>
      <c r="N13" s="1">
        <v>1166.6666666666667</v>
      </c>
      <c r="O13" s="1">
        <f>(Table3[[#This Row],[P1_AVG (W)]]+Table3[[#This Row],[P2_AVG (W)]]+Table3[[#This Row],[P3_AVG (W)]])</f>
        <v>3600</v>
      </c>
      <c r="P13" s="1">
        <f>ABS(Table3[[#This Row],[P1_AVG (W)]])</f>
        <v>1850</v>
      </c>
      <c r="Q13" s="1">
        <f>ABS(Table3[[#This Row],[P2_AVG (W)]])</f>
        <v>583.33333333333337</v>
      </c>
      <c r="R13" s="1">
        <f>ABS(Table3[[#This Row],[P3_AVG (W)]])</f>
        <v>1166.6666666666667</v>
      </c>
      <c r="S13" s="1">
        <f>SUM(Table3[[#This Row],[P1_AVG (W)2]:[P3_AVG (W)2]])</f>
        <v>3600</v>
      </c>
    </row>
    <row r="14" spans="1:19" x14ac:dyDescent="0.3">
      <c r="A14" s="2">
        <v>46241</v>
      </c>
      <c r="B14" s="3">
        <v>0.13541666666666666</v>
      </c>
      <c r="C14">
        <v>234</v>
      </c>
      <c r="D14">
        <v>232</v>
      </c>
      <c r="E14">
        <v>233</v>
      </c>
      <c r="F14" s="1">
        <v>7.9833333333333334</v>
      </c>
      <c r="G14" s="1">
        <v>7.1166666666666663</v>
      </c>
      <c r="H14" s="1">
        <v>8.6166666666666671</v>
      </c>
      <c r="I14" s="1">
        <v>-0.97899999999999998</v>
      </c>
      <c r="J14" s="1">
        <v>-0.3407</v>
      </c>
      <c r="K14" s="1">
        <v>0.57930000000000004</v>
      </c>
      <c r="L14" s="1">
        <v>1833.3333333333301</v>
      </c>
      <c r="M14" s="1">
        <v>566.66666666666663</v>
      </c>
      <c r="N14" s="1">
        <v>1166.6666666666667</v>
      </c>
      <c r="O14" s="1">
        <f>(Table3[[#This Row],[P1_AVG (W)]]+Table3[[#This Row],[P2_AVG (W)]]+Table3[[#This Row],[P3_AVG (W)]])</f>
        <v>3566.6666666666633</v>
      </c>
      <c r="P14" s="1">
        <f>ABS(Table3[[#This Row],[P1_AVG (W)]])</f>
        <v>1833.3333333333301</v>
      </c>
      <c r="Q14" s="1">
        <f>ABS(Table3[[#This Row],[P2_AVG (W)]])</f>
        <v>566.66666666666663</v>
      </c>
      <c r="R14" s="1">
        <f>ABS(Table3[[#This Row],[P3_AVG (W)]])</f>
        <v>1166.6666666666667</v>
      </c>
      <c r="S14" s="1">
        <f>SUM(Table3[[#This Row],[P1_AVG (W)2]:[P3_AVG (W)2]])</f>
        <v>3566.6666666666633</v>
      </c>
    </row>
    <row r="15" spans="1:19" x14ac:dyDescent="0.3">
      <c r="A15" s="2">
        <v>46241</v>
      </c>
      <c r="B15" s="3">
        <v>0.14583333333333334</v>
      </c>
      <c r="C15">
        <v>235</v>
      </c>
      <c r="D15">
        <v>232</v>
      </c>
      <c r="E15">
        <v>233</v>
      </c>
      <c r="F15" s="1">
        <v>7.9</v>
      </c>
      <c r="G15" s="1">
        <v>7.0333333333333332</v>
      </c>
      <c r="H15" s="1">
        <v>8.5333333333333332</v>
      </c>
      <c r="I15" s="1">
        <v>-0.97850000000000004</v>
      </c>
      <c r="J15" s="1">
        <v>-0.33839999999999998</v>
      </c>
      <c r="K15" s="1">
        <v>0.58030000000000004</v>
      </c>
      <c r="L15" s="1">
        <v>1816.6666666666699</v>
      </c>
      <c r="M15" s="1">
        <v>550</v>
      </c>
      <c r="N15" s="1">
        <v>1150</v>
      </c>
      <c r="O15" s="1">
        <f>(Table3[[#This Row],[P1_AVG (W)]]+Table3[[#This Row],[P2_AVG (W)]]+Table3[[#This Row],[P3_AVG (W)]])</f>
        <v>3516.6666666666697</v>
      </c>
      <c r="P15" s="1">
        <f>ABS(Table3[[#This Row],[P1_AVG (W)]])</f>
        <v>1816.6666666666699</v>
      </c>
      <c r="Q15" s="1">
        <f>ABS(Table3[[#This Row],[P2_AVG (W)]])</f>
        <v>550</v>
      </c>
      <c r="R15" s="1">
        <f>ABS(Table3[[#This Row],[P3_AVG (W)]])</f>
        <v>1150</v>
      </c>
      <c r="S15" s="1">
        <f>SUM(Table3[[#This Row],[P1_AVG (W)2]:[P3_AVG (W)2]])</f>
        <v>3516.6666666666697</v>
      </c>
    </row>
    <row r="16" spans="1:19" x14ac:dyDescent="0.3">
      <c r="A16" s="2">
        <v>46241</v>
      </c>
      <c r="B16" s="3">
        <v>0.15625</v>
      </c>
      <c r="C16">
        <v>235</v>
      </c>
      <c r="D16">
        <v>233</v>
      </c>
      <c r="E16">
        <v>234</v>
      </c>
      <c r="F16" s="1">
        <v>7.85</v>
      </c>
      <c r="G16" s="1">
        <v>7</v>
      </c>
      <c r="H16" s="1">
        <v>8.4666666666666668</v>
      </c>
      <c r="I16" s="1">
        <v>-0.97850000000000004</v>
      </c>
      <c r="J16" s="1">
        <v>-0.33800000000000002</v>
      </c>
      <c r="K16" s="1">
        <v>0.58160000000000001</v>
      </c>
      <c r="L16" s="1">
        <v>1800</v>
      </c>
      <c r="M16" s="1">
        <v>550</v>
      </c>
      <c r="N16" s="1">
        <v>1150</v>
      </c>
      <c r="O16" s="1">
        <f>(Table3[[#This Row],[P1_AVG (W)]]+Table3[[#This Row],[P2_AVG (W)]]+Table3[[#This Row],[P3_AVG (W)]])</f>
        <v>3500</v>
      </c>
      <c r="P16" s="1">
        <f>ABS(Table3[[#This Row],[P1_AVG (W)]])</f>
        <v>1800</v>
      </c>
      <c r="Q16" s="1">
        <f>ABS(Table3[[#This Row],[P2_AVG (W)]])</f>
        <v>550</v>
      </c>
      <c r="R16" s="1">
        <f>ABS(Table3[[#This Row],[P3_AVG (W)]])</f>
        <v>1150</v>
      </c>
      <c r="S16" s="1">
        <f>SUM(Table3[[#This Row],[P1_AVG (W)2]:[P3_AVG (W)2]])</f>
        <v>3500</v>
      </c>
    </row>
    <row r="17" spans="1:19" x14ac:dyDescent="0.3">
      <c r="A17" s="2">
        <v>46241</v>
      </c>
      <c r="B17" s="3">
        <v>0.16666666666666666</v>
      </c>
      <c r="C17">
        <v>235</v>
      </c>
      <c r="D17">
        <v>232</v>
      </c>
      <c r="E17">
        <v>234</v>
      </c>
      <c r="F17" s="1">
        <v>8.5500000000000007</v>
      </c>
      <c r="G17" s="1">
        <v>6.9666666666666668</v>
      </c>
      <c r="H17" s="1">
        <v>8.4166666666666661</v>
      </c>
      <c r="I17" s="1">
        <v>-0.96379999999999999</v>
      </c>
      <c r="J17" s="1">
        <v>-0.33660000000000001</v>
      </c>
      <c r="K17" s="1">
        <v>0.5827</v>
      </c>
      <c r="L17" s="1">
        <v>1933.3333333333301</v>
      </c>
      <c r="M17" s="1">
        <v>550</v>
      </c>
      <c r="N17" s="1">
        <v>1150</v>
      </c>
      <c r="O17" s="1">
        <f>(Table3[[#This Row],[P1_AVG (W)]]+Table3[[#This Row],[P2_AVG (W)]]+Table3[[#This Row],[P3_AVG (W)]])</f>
        <v>3633.3333333333303</v>
      </c>
      <c r="P17" s="1">
        <f>ABS(Table3[[#This Row],[P1_AVG (W)]])</f>
        <v>1933.3333333333301</v>
      </c>
      <c r="Q17" s="1">
        <f>ABS(Table3[[#This Row],[P2_AVG (W)]])</f>
        <v>550</v>
      </c>
      <c r="R17" s="1">
        <f>ABS(Table3[[#This Row],[P3_AVG (W)]])</f>
        <v>1150</v>
      </c>
      <c r="S17" s="1">
        <f>SUM(Table3[[#This Row],[P1_AVG (W)2]:[P3_AVG (W)2]])</f>
        <v>3633.3333333333303</v>
      </c>
    </row>
    <row r="18" spans="1:19" x14ac:dyDescent="0.3">
      <c r="A18" s="2">
        <v>46241</v>
      </c>
      <c r="B18" s="3">
        <v>0.17708333333333334</v>
      </c>
      <c r="C18">
        <v>234</v>
      </c>
      <c r="D18">
        <v>232</v>
      </c>
      <c r="E18">
        <v>233</v>
      </c>
      <c r="F18" s="1">
        <v>8.9333333333333336</v>
      </c>
      <c r="G18" s="1">
        <v>6.9</v>
      </c>
      <c r="H18" s="1">
        <v>8.3666666666666671</v>
      </c>
      <c r="I18" s="1">
        <v>-0.95469999999999999</v>
      </c>
      <c r="J18" s="1">
        <v>-0.33550000000000002</v>
      </c>
      <c r="K18" s="1">
        <v>0.58309999999999995</v>
      </c>
      <c r="L18" s="1">
        <v>2000</v>
      </c>
      <c r="M18" s="1">
        <v>533.33333333333337</v>
      </c>
      <c r="N18" s="1">
        <v>1133.3333333333333</v>
      </c>
      <c r="O18" s="1">
        <f>(Table3[[#This Row],[P1_AVG (W)]]+Table3[[#This Row],[P2_AVG (W)]]+Table3[[#This Row],[P3_AVG (W)]])</f>
        <v>3666.666666666667</v>
      </c>
      <c r="P18" s="1">
        <f>ABS(Table3[[#This Row],[P1_AVG (W)]])</f>
        <v>2000</v>
      </c>
      <c r="Q18" s="1">
        <f>ABS(Table3[[#This Row],[P2_AVG (W)]])</f>
        <v>533.33333333333337</v>
      </c>
      <c r="R18" s="1">
        <f>ABS(Table3[[#This Row],[P3_AVG (W)]])</f>
        <v>1133.3333333333333</v>
      </c>
      <c r="S18" s="1">
        <f>SUM(Table3[[#This Row],[P1_AVG (W)2]:[P3_AVG (W)2]])</f>
        <v>3666.666666666667</v>
      </c>
    </row>
    <row r="19" spans="1:19" x14ac:dyDescent="0.3">
      <c r="A19" s="2">
        <v>46241</v>
      </c>
      <c r="B19" s="3">
        <v>0.1875</v>
      </c>
      <c r="C19">
        <v>233</v>
      </c>
      <c r="D19">
        <v>231</v>
      </c>
      <c r="E19">
        <v>232</v>
      </c>
      <c r="F19" s="1">
        <v>8.9499999999999993</v>
      </c>
      <c r="G19" s="1">
        <v>6.9666666666666668</v>
      </c>
      <c r="H19" s="1">
        <v>8.4333333333333336</v>
      </c>
      <c r="I19" s="1">
        <v>-0.95589999999999997</v>
      </c>
      <c r="J19" s="1">
        <v>-0.33700000000000002</v>
      </c>
      <c r="K19" s="1">
        <v>0.58230000000000004</v>
      </c>
      <c r="L19" s="1">
        <v>2000</v>
      </c>
      <c r="M19" s="1">
        <v>550</v>
      </c>
      <c r="N19" s="1">
        <v>1133.3333333333333</v>
      </c>
      <c r="O19" s="1">
        <f>(Table3[[#This Row],[P1_AVG (W)]]+Table3[[#This Row],[P2_AVG (W)]]+Table3[[#This Row],[P3_AVG (W)]])</f>
        <v>3683.333333333333</v>
      </c>
      <c r="P19" s="1">
        <f>ABS(Table3[[#This Row],[P1_AVG (W)]])</f>
        <v>2000</v>
      </c>
      <c r="Q19" s="1">
        <f>ABS(Table3[[#This Row],[P2_AVG (W)]])</f>
        <v>550</v>
      </c>
      <c r="R19" s="1">
        <f>ABS(Table3[[#This Row],[P3_AVG (W)]])</f>
        <v>1133.3333333333333</v>
      </c>
      <c r="S19" s="1">
        <f>SUM(Table3[[#This Row],[P1_AVG (W)2]:[P3_AVG (W)2]])</f>
        <v>3683.333333333333</v>
      </c>
    </row>
    <row r="20" spans="1:19" x14ac:dyDescent="0.3">
      <c r="A20" s="2">
        <v>46241</v>
      </c>
      <c r="B20" s="3">
        <v>0.19791666666666666</v>
      </c>
      <c r="C20">
        <v>233</v>
      </c>
      <c r="D20">
        <v>231</v>
      </c>
      <c r="E20">
        <v>232</v>
      </c>
      <c r="F20" s="1">
        <v>8.9</v>
      </c>
      <c r="G20" s="1">
        <v>6.9</v>
      </c>
      <c r="H20" s="1">
        <v>8.3666666666666671</v>
      </c>
      <c r="I20" s="1">
        <v>-0.95609999999999995</v>
      </c>
      <c r="J20" s="1">
        <v>-0.33639999999999998</v>
      </c>
      <c r="K20" s="1">
        <v>0.5827</v>
      </c>
      <c r="L20" s="1">
        <v>1983.3333333333301</v>
      </c>
      <c r="M20" s="1">
        <v>533.33333333333337</v>
      </c>
      <c r="N20" s="1">
        <v>1133.3333333333333</v>
      </c>
      <c r="O20" s="1">
        <f>(Table3[[#This Row],[P1_AVG (W)]]+Table3[[#This Row],[P2_AVG (W)]]+Table3[[#This Row],[P3_AVG (W)]])</f>
        <v>3649.9999999999964</v>
      </c>
      <c r="P20" s="1">
        <f>ABS(Table3[[#This Row],[P1_AVG (W)]])</f>
        <v>1983.3333333333301</v>
      </c>
      <c r="Q20" s="1">
        <f>ABS(Table3[[#This Row],[P2_AVG (W)]])</f>
        <v>533.33333333333337</v>
      </c>
      <c r="R20" s="1">
        <f>ABS(Table3[[#This Row],[P3_AVG (W)]])</f>
        <v>1133.3333333333333</v>
      </c>
      <c r="S20" s="1">
        <f>SUM(Table3[[#This Row],[P1_AVG (W)2]:[P3_AVG (W)2]])</f>
        <v>3649.9999999999964</v>
      </c>
    </row>
    <row r="21" spans="1:19" x14ac:dyDescent="0.3">
      <c r="A21" s="2">
        <v>46241</v>
      </c>
      <c r="B21" s="3">
        <v>0.20833333333333334</v>
      </c>
      <c r="C21">
        <v>231</v>
      </c>
      <c r="D21">
        <v>229</v>
      </c>
      <c r="E21">
        <v>230</v>
      </c>
      <c r="F21" s="1">
        <v>9.0333333333333332</v>
      </c>
      <c r="G21" s="1">
        <v>7.05</v>
      </c>
      <c r="H21" s="1">
        <v>8.5166666666666675</v>
      </c>
      <c r="I21" s="1">
        <v>-0.95820000000000005</v>
      </c>
      <c r="J21" s="1">
        <v>-0.34100000000000003</v>
      </c>
      <c r="K21" s="1">
        <v>0.58140000000000003</v>
      </c>
      <c r="L21" s="1">
        <v>2000</v>
      </c>
      <c r="M21" s="1">
        <v>550</v>
      </c>
      <c r="N21" s="1">
        <v>1133.3333333333333</v>
      </c>
      <c r="O21" s="1">
        <f>(Table3[[#This Row],[P1_AVG (W)]]+Table3[[#This Row],[P2_AVG (W)]]+Table3[[#This Row],[P3_AVG (W)]])</f>
        <v>3683.333333333333</v>
      </c>
      <c r="P21" s="1">
        <f>ABS(Table3[[#This Row],[P1_AVG (W)]])</f>
        <v>2000</v>
      </c>
      <c r="Q21" s="1">
        <f>ABS(Table3[[#This Row],[P2_AVG (W)]])</f>
        <v>550</v>
      </c>
      <c r="R21" s="1">
        <f>ABS(Table3[[#This Row],[P3_AVG (W)]])</f>
        <v>1133.3333333333333</v>
      </c>
      <c r="S21" s="1">
        <f>SUM(Table3[[#This Row],[P1_AVG (W)2]:[P3_AVG (W)2]])</f>
        <v>3683.333333333333</v>
      </c>
    </row>
    <row r="22" spans="1:19" x14ac:dyDescent="0.3">
      <c r="A22" s="2">
        <v>46241</v>
      </c>
      <c r="B22" s="3">
        <v>0.21875</v>
      </c>
      <c r="C22">
        <v>229</v>
      </c>
      <c r="D22">
        <v>227</v>
      </c>
      <c r="E22">
        <v>228</v>
      </c>
      <c r="F22" s="1">
        <v>9.0666666666666664</v>
      </c>
      <c r="G22" s="1">
        <v>7.1166666666666663</v>
      </c>
      <c r="H22" s="1">
        <v>8.5666666666666664</v>
      </c>
      <c r="I22" s="1">
        <v>-0.95960000000000001</v>
      </c>
      <c r="J22" s="1">
        <v>-0.34510000000000002</v>
      </c>
      <c r="K22" s="1">
        <v>0.57979999999999998</v>
      </c>
      <c r="L22" s="1">
        <v>2000</v>
      </c>
      <c r="M22" s="1">
        <v>550</v>
      </c>
      <c r="N22" s="1">
        <v>1133.3333333333333</v>
      </c>
      <c r="O22" s="1">
        <f>(Table3[[#This Row],[P1_AVG (W)]]+Table3[[#This Row],[P2_AVG (W)]]+Table3[[#This Row],[P3_AVG (W)]])</f>
        <v>3683.333333333333</v>
      </c>
      <c r="P22" s="1">
        <f>ABS(Table3[[#This Row],[P1_AVG (W)]])</f>
        <v>2000</v>
      </c>
      <c r="Q22" s="1">
        <f>ABS(Table3[[#This Row],[P2_AVG (W)]])</f>
        <v>550</v>
      </c>
      <c r="R22" s="1">
        <f>ABS(Table3[[#This Row],[P3_AVG (W)]])</f>
        <v>1133.3333333333333</v>
      </c>
      <c r="S22" s="1">
        <f>SUM(Table3[[#This Row],[P1_AVG (W)2]:[P3_AVG (W)2]])</f>
        <v>3683.333333333333</v>
      </c>
    </row>
    <row r="23" spans="1:19" x14ac:dyDescent="0.3">
      <c r="A23" s="2">
        <v>46241</v>
      </c>
      <c r="B23" s="3">
        <v>0.22916666666666666</v>
      </c>
      <c r="C23">
        <v>229</v>
      </c>
      <c r="D23">
        <v>227</v>
      </c>
      <c r="E23">
        <v>228</v>
      </c>
      <c r="F23" s="1">
        <v>9.1</v>
      </c>
      <c r="G23" s="1">
        <v>7.1333333333333337</v>
      </c>
      <c r="H23" s="1">
        <v>8.6166666666666671</v>
      </c>
      <c r="I23" s="1">
        <v>-0.95950000000000002</v>
      </c>
      <c r="J23" s="1">
        <v>-0.34429999999999999</v>
      </c>
      <c r="K23" s="1">
        <v>0.57869999999999999</v>
      </c>
      <c r="L23" s="1">
        <v>2000</v>
      </c>
      <c r="M23" s="1">
        <v>566.66666666666663</v>
      </c>
      <c r="N23" s="1">
        <v>1133.3333333333333</v>
      </c>
      <c r="O23" s="1">
        <f>(Table3[[#This Row],[P1_AVG (W)]]+Table3[[#This Row],[P2_AVG (W)]]+Table3[[#This Row],[P3_AVG (W)]])</f>
        <v>3700</v>
      </c>
      <c r="P23" s="1">
        <f>ABS(Table3[[#This Row],[P1_AVG (W)]])</f>
        <v>2000</v>
      </c>
      <c r="Q23" s="1">
        <f>ABS(Table3[[#This Row],[P2_AVG (W)]])</f>
        <v>566.66666666666663</v>
      </c>
      <c r="R23" s="1">
        <f>ABS(Table3[[#This Row],[P3_AVG (W)]])</f>
        <v>1133.3333333333333</v>
      </c>
      <c r="S23" s="1">
        <f>SUM(Table3[[#This Row],[P1_AVG (W)2]:[P3_AVG (W)2]])</f>
        <v>3700</v>
      </c>
    </row>
    <row r="24" spans="1:19" x14ac:dyDescent="0.3">
      <c r="A24" s="2">
        <v>46241</v>
      </c>
      <c r="B24" s="3">
        <v>0.23958333333333334</v>
      </c>
      <c r="C24">
        <v>229</v>
      </c>
      <c r="D24">
        <v>227</v>
      </c>
      <c r="E24">
        <v>228</v>
      </c>
      <c r="F24" s="1">
        <v>9.1166666666666671</v>
      </c>
      <c r="G24" s="1">
        <v>6.8</v>
      </c>
      <c r="H24" s="1">
        <v>8.3000000000000007</v>
      </c>
      <c r="I24" s="1">
        <v>-0.95950000000000002</v>
      </c>
      <c r="J24" s="1">
        <v>-0.31690000000000002</v>
      </c>
      <c r="K24" s="1">
        <v>0.57830000000000004</v>
      </c>
      <c r="L24" s="1">
        <v>2000</v>
      </c>
      <c r="M24" s="1">
        <v>483.33333333333331</v>
      </c>
      <c r="N24" s="1">
        <v>1100</v>
      </c>
      <c r="O24" s="1">
        <f>(Table3[[#This Row],[P1_AVG (W)]]+Table3[[#This Row],[P2_AVG (W)]]+Table3[[#This Row],[P3_AVG (W)]])</f>
        <v>3583.3333333333335</v>
      </c>
      <c r="P24" s="1">
        <f>ABS(Table3[[#This Row],[P1_AVG (W)]])</f>
        <v>2000</v>
      </c>
      <c r="Q24" s="1">
        <f>ABS(Table3[[#This Row],[P2_AVG (W)]])</f>
        <v>483.33333333333331</v>
      </c>
      <c r="R24" s="1">
        <f>ABS(Table3[[#This Row],[P3_AVG (W)]])</f>
        <v>1100</v>
      </c>
      <c r="S24" s="1">
        <f>SUM(Table3[[#This Row],[P1_AVG (W)2]:[P3_AVG (W)2]])</f>
        <v>3583.3333333333335</v>
      </c>
    </row>
    <row r="25" spans="1:19" x14ac:dyDescent="0.3">
      <c r="A25" s="2">
        <v>46241</v>
      </c>
      <c r="B25" s="3">
        <v>0.25</v>
      </c>
      <c r="C25">
        <v>235</v>
      </c>
      <c r="D25">
        <v>233</v>
      </c>
      <c r="E25">
        <v>234</v>
      </c>
      <c r="F25" s="1">
        <v>9.0333333333333332</v>
      </c>
      <c r="G25" s="1">
        <v>6.4666666666666668</v>
      </c>
      <c r="H25" s="1">
        <v>8.2333333333333325</v>
      </c>
      <c r="I25" s="1">
        <v>-0.9546</v>
      </c>
      <c r="J25" s="1">
        <v>-0.2893</v>
      </c>
      <c r="K25" s="1">
        <v>0.57989999999999997</v>
      </c>
      <c r="L25" s="1">
        <v>2033.3333333333301</v>
      </c>
      <c r="M25" s="1">
        <v>433.33333333333331</v>
      </c>
      <c r="N25" s="1">
        <v>1116.6666666666667</v>
      </c>
      <c r="O25" s="1">
        <f>(Table3[[#This Row],[P1_AVG (W)]]+Table3[[#This Row],[P2_AVG (W)]]+Table3[[#This Row],[P3_AVG (W)]])</f>
        <v>3583.3333333333303</v>
      </c>
      <c r="P25" s="1">
        <f>ABS(Table3[[#This Row],[P1_AVG (W)]])</f>
        <v>2033.3333333333301</v>
      </c>
      <c r="Q25" s="1">
        <f>ABS(Table3[[#This Row],[P2_AVG (W)]])</f>
        <v>433.33333333333331</v>
      </c>
      <c r="R25" s="1">
        <f>ABS(Table3[[#This Row],[P3_AVG (W)]])</f>
        <v>1116.6666666666667</v>
      </c>
      <c r="S25" s="1">
        <f>SUM(Table3[[#This Row],[P1_AVG (W)2]:[P3_AVG (W)2]])</f>
        <v>3583.3333333333303</v>
      </c>
    </row>
    <row r="26" spans="1:19" x14ac:dyDescent="0.3">
      <c r="A26" s="2">
        <v>46241</v>
      </c>
      <c r="B26" s="3">
        <v>0.26041666666666669</v>
      </c>
      <c r="C26">
        <v>235</v>
      </c>
      <c r="D26">
        <v>233</v>
      </c>
      <c r="E26">
        <v>234</v>
      </c>
      <c r="F26" s="1">
        <v>9.4666666666666668</v>
      </c>
      <c r="G26" s="1">
        <v>6.916666666666667</v>
      </c>
      <c r="H26" s="1">
        <v>8.6666666666666661</v>
      </c>
      <c r="I26" s="1">
        <v>-0.95809999999999995</v>
      </c>
      <c r="J26" s="1">
        <v>-0.30830000000000002</v>
      </c>
      <c r="K26" s="1">
        <v>0.57340000000000002</v>
      </c>
      <c r="L26" s="1">
        <v>2133.3333333333298</v>
      </c>
      <c r="M26" s="1">
        <v>500</v>
      </c>
      <c r="N26" s="1">
        <v>1166.6666666666667</v>
      </c>
      <c r="O26" s="1">
        <f>(Table3[[#This Row],[P1_AVG (W)]]+Table3[[#This Row],[P2_AVG (W)]]+Table3[[#This Row],[P3_AVG (W)]])</f>
        <v>3799.9999999999964</v>
      </c>
      <c r="P26" s="1">
        <f>ABS(Table3[[#This Row],[P1_AVG (W)]])</f>
        <v>2133.3333333333298</v>
      </c>
      <c r="Q26" s="1">
        <f>ABS(Table3[[#This Row],[P2_AVG (W)]])</f>
        <v>500</v>
      </c>
      <c r="R26" s="1">
        <f>ABS(Table3[[#This Row],[P3_AVG (W)]])</f>
        <v>1166.6666666666667</v>
      </c>
      <c r="S26" s="1">
        <f>SUM(Table3[[#This Row],[P1_AVG (W)2]:[P3_AVG (W)2]])</f>
        <v>3799.9999999999964</v>
      </c>
    </row>
    <row r="27" spans="1:19" x14ac:dyDescent="0.3">
      <c r="A27" s="2">
        <v>46241</v>
      </c>
      <c r="B27" s="3">
        <v>0.27083333333333331</v>
      </c>
      <c r="C27">
        <v>235</v>
      </c>
      <c r="D27">
        <v>233</v>
      </c>
      <c r="E27">
        <v>234</v>
      </c>
      <c r="F27" s="1">
        <v>9.35</v>
      </c>
      <c r="G27" s="1">
        <v>6.6333333333333337</v>
      </c>
      <c r="H27" s="1">
        <v>8.4833333333333325</v>
      </c>
      <c r="I27" s="1">
        <v>-0.94</v>
      </c>
      <c r="J27" s="1">
        <v>-0.377</v>
      </c>
      <c r="K27" s="1">
        <v>0.5202</v>
      </c>
      <c r="L27" s="1">
        <v>2066.6666666666702</v>
      </c>
      <c r="M27" s="1">
        <v>583.33333333333337</v>
      </c>
      <c r="N27" s="1">
        <v>1033.3333333333333</v>
      </c>
      <c r="O27" s="1">
        <f>(Table3[[#This Row],[P1_AVG (W)]]+Table3[[#This Row],[P2_AVG (W)]]+Table3[[#This Row],[P3_AVG (W)]])</f>
        <v>3683.3333333333367</v>
      </c>
      <c r="P27" s="1">
        <f>ABS(Table3[[#This Row],[P1_AVG (W)]])</f>
        <v>2066.6666666666702</v>
      </c>
      <c r="Q27" s="1">
        <f>ABS(Table3[[#This Row],[P2_AVG (W)]])</f>
        <v>583.33333333333337</v>
      </c>
      <c r="R27" s="1">
        <f>ABS(Table3[[#This Row],[P3_AVG (W)]])</f>
        <v>1033.3333333333333</v>
      </c>
      <c r="S27" s="1">
        <f>SUM(Table3[[#This Row],[P1_AVG (W)2]:[P3_AVG (W)2]])</f>
        <v>3683.3333333333367</v>
      </c>
    </row>
    <row r="28" spans="1:19" x14ac:dyDescent="0.3">
      <c r="A28" s="2">
        <v>46241</v>
      </c>
      <c r="B28" s="3">
        <v>0.28125</v>
      </c>
      <c r="C28">
        <v>235</v>
      </c>
      <c r="D28">
        <v>233</v>
      </c>
      <c r="E28">
        <v>234</v>
      </c>
      <c r="F28" s="1">
        <v>6.333333333333333</v>
      </c>
      <c r="G28" s="1">
        <v>4.6166666666666663</v>
      </c>
      <c r="H28" s="1">
        <v>6.416666666666667</v>
      </c>
      <c r="I28" s="1">
        <v>-0.93059999999999998</v>
      </c>
      <c r="J28" s="1">
        <v>-0.2104</v>
      </c>
      <c r="K28" s="1">
        <v>0.52049999999999996</v>
      </c>
      <c r="L28" s="1">
        <v>1383.3333333333301</v>
      </c>
      <c r="M28" s="1">
        <v>250</v>
      </c>
      <c r="N28" s="1">
        <v>783.33333333333337</v>
      </c>
      <c r="O28" s="1">
        <f>(Table3[[#This Row],[P1_AVG (W)]]+Table3[[#This Row],[P2_AVG (W)]]+Table3[[#This Row],[P3_AVG (W)]])</f>
        <v>2416.6666666666633</v>
      </c>
      <c r="P28" s="1">
        <f>ABS(Table3[[#This Row],[P1_AVG (W)]])</f>
        <v>1383.3333333333301</v>
      </c>
      <c r="Q28" s="1">
        <f>ABS(Table3[[#This Row],[P2_AVG (W)]])</f>
        <v>250</v>
      </c>
      <c r="R28" s="1">
        <f>ABS(Table3[[#This Row],[P3_AVG (W)]])</f>
        <v>783.33333333333337</v>
      </c>
      <c r="S28" s="1">
        <f>SUM(Table3[[#This Row],[P1_AVG (W)2]:[P3_AVG (W)2]])</f>
        <v>2416.6666666666633</v>
      </c>
    </row>
    <row r="29" spans="1:19" x14ac:dyDescent="0.3">
      <c r="A29" s="2">
        <v>46241</v>
      </c>
      <c r="B29" s="3">
        <v>0.29166666666666669</v>
      </c>
      <c r="C29">
        <v>236</v>
      </c>
      <c r="D29">
        <v>234</v>
      </c>
      <c r="E29">
        <v>235</v>
      </c>
      <c r="F29" s="1">
        <v>4.05</v>
      </c>
      <c r="G29" s="1">
        <v>1.6666666666666667</v>
      </c>
      <c r="H29" s="1">
        <v>3.7666666666666666</v>
      </c>
      <c r="I29" s="1">
        <v>-0.79430000000000001</v>
      </c>
      <c r="J29" s="1">
        <v>0</v>
      </c>
      <c r="K29" s="1">
        <v>0</v>
      </c>
      <c r="L29" s="1">
        <v>766.66666666666697</v>
      </c>
      <c r="M29" s="1">
        <v>0</v>
      </c>
      <c r="N29" s="1">
        <v>433.33333333333331</v>
      </c>
      <c r="O29" s="1">
        <f>(Table3[[#This Row],[P1_AVG (W)]]+Table3[[#This Row],[P2_AVG (W)]]+Table3[[#This Row],[P3_AVG (W)]])</f>
        <v>1200.0000000000002</v>
      </c>
      <c r="P29" s="1">
        <f>ABS(Table3[[#This Row],[P1_AVG (W)]])</f>
        <v>766.66666666666697</v>
      </c>
      <c r="Q29" s="1">
        <f>ABS(Table3[[#This Row],[P2_AVG (W)]])</f>
        <v>0</v>
      </c>
      <c r="R29" s="1">
        <f>ABS(Table3[[#This Row],[P3_AVG (W)]])</f>
        <v>433.33333333333331</v>
      </c>
      <c r="S29" s="1">
        <f>SUM(Table3[[#This Row],[P1_AVG (W)2]:[P3_AVG (W)2]])</f>
        <v>1200.0000000000002</v>
      </c>
    </row>
    <row r="30" spans="1:19" x14ac:dyDescent="0.3">
      <c r="A30" s="2">
        <v>46241</v>
      </c>
      <c r="B30" s="3">
        <v>0.30208333333333331</v>
      </c>
      <c r="C30">
        <v>236</v>
      </c>
      <c r="D30">
        <v>234</v>
      </c>
      <c r="E30">
        <v>235</v>
      </c>
      <c r="F30" s="1">
        <v>2.4166666666666665</v>
      </c>
      <c r="G30" s="1">
        <v>0.51666666666666672</v>
      </c>
      <c r="H30" s="1">
        <v>0.8</v>
      </c>
      <c r="I30" s="1">
        <v>0</v>
      </c>
      <c r="J30" s="1">
        <v>0</v>
      </c>
      <c r="K30" s="1">
        <v>0</v>
      </c>
      <c r="L30" s="1">
        <v>216.666666666667</v>
      </c>
      <c r="M30" s="1">
        <v>-133.33333333333334</v>
      </c>
      <c r="N30" s="1">
        <v>50</v>
      </c>
      <c r="O30" s="1">
        <f>(Table3[[#This Row],[P1_AVG (W)]]+Table3[[#This Row],[P2_AVG (W)]]+Table3[[#This Row],[P3_AVG (W)]])</f>
        <v>133.33333333333366</v>
      </c>
      <c r="P30" s="1">
        <f>ABS(Table3[[#This Row],[P1_AVG (W)]])</f>
        <v>216.666666666667</v>
      </c>
      <c r="Q30" s="1">
        <f>ABS(Table3[[#This Row],[P2_AVG (W)]])</f>
        <v>133.33333333333334</v>
      </c>
      <c r="R30" s="1">
        <f>ABS(Table3[[#This Row],[P3_AVG (W)]])</f>
        <v>50</v>
      </c>
      <c r="S30" s="1">
        <f>SUM(Table3[[#This Row],[P1_AVG (W)2]:[P3_AVG (W)2]])</f>
        <v>400.00000000000034</v>
      </c>
    </row>
    <row r="31" spans="1:19" x14ac:dyDescent="0.3">
      <c r="A31" s="2">
        <v>46241</v>
      </c>
      <c r="B31" s="3">
        <v>0.3125</v>
      </c>
      <c r="C31">
        <v>236</v>
      </c>
      <c r="D31">
        <v>234</v>
      </c>
      <c r="E31">
        <v>235</v>
      </c>
      <c r="F31" s="1">
        <v>3.55</v>
      </c>
      <c r="G31" s="1">
        <v>3.35</v>
      </c>
      <c r="H31" s="1">
        <v>1.5833333333333333</v>
      </c>
      <c r="I31" s="1">
        <v>0</v>
      </c>
      <c r="J31" s="1">
        <v>0</v>
      </c>
      <c r="K31" s="1">
        <v>0</v>
      </c>
      <c r="L31" s="1">
        <v>300</v>
      </c>
      <c r="M31" s="1">
        <v>-516.66666666666663</v>
      </c>
      <c r="N31" s="1">
        <v>16.666666666666668</v>
      </c>
      <c r="O31" s="1">
        <f>(Table3[[#This Row],[P1_AVG (W)]]+Table3[[#This Row],[P2_AVG (W)]]+Table3[[#This Row],[P3_AVG (W)]])</f>
        <v>-199.99999999999997</v>
      </c>
      <c r="P31" s="1">
        <f>ABS(Table3[[#This Row],[P1_AVG (W)]])</f>
        <v>300</v>
      </c>
      <c r="Q31" s="1">
        <f>ABS(Table3[[#This Row],[P2_AVG (W)]])</f>
        <v>516.66666666666663</v>
      </c>
      <c r="R31" s="1">
        <f>ABS(Table3[[#This Row],[P3_AVG (W)]])</f>
        <v>16.666666666666668</v>
      </c>
      <c r="S31" s="1">
        <f>SUM(Table3[[#This Row],[P1_AVG (W)2]:[P3_AVG (W)2]])</f>
        <v>833.33333333333326</v>
      </c>
    </row>
    <row r="32" spans="1:19" x14ac:dyDescent="0.3">
      <c r="A32" s="2">
        <v>46241</v>
      </c>
      <c r="B32" s="3">
        <v>0.32291666666666669</v>
      </c>
      <c r="C32">
        <v>232</v>
      </c>
      <c r="D32">
        <v>229</v>
      </c>
      <c r="E32">
        <v>231</v>
      </c>
      <c r="F32" s="1">
        <v>12.4</v>
      </c>
      <c r="G32" s="1">
        <v>5.7833333333333332</v>
      </c>
      <c r="H32" s="1">
        <v>3.95</v>
      </c>
      <c r="I32" s="1">
        <v>0.97750000000000004</v>
      </c>
      <c r="J32" s="1">
        <v>0</v>
      </c>
      <c r="K32" s="1">
        <v>0</v>
      </c>
      <c r="L32" s="1">
        <v>2716.6666666666702</v>
      </c>
      <c r="M32" s="1">
        <v>-833.33333333333337</v>
      </c>
      <c r="N32" s="1">
        <v>-350</v>
      </c>
      <c r="O32" s="1">
        <f>(Table3[[#This Row],[P1_AVG (W)]]+Table3[[#This Row],[P2_AVG (W)]]+Table3[[#This Row],[P3_AVG (W)]])</f>
        <v>1533.3333333333367</v>
      </c>
      <c r="P32" s="1">
        <f>ABS(Table3[[#This Row],[P1_AVG (W)]])</f>
        <v>2716.6666666666702</v>
      </c>
      <c r="Q32" s="1">
        <f>ABS(Table3[[#This Row],[P2_AVG (W)]])</f>
        <v>833.33333333333337</v>
      </c>
      <c r="R32" s="1">
        <f>ABS(Table3[[#This Row],[P3_AVG (W)]])</f>
        <v>350</v>
      </c>
      <c r="S32" s="1">
        <f>SUM(Table3[[#This Row],[P1_AVG (W)2]:[P3_AVG (W)2]])</f>
        <v>3900.0000000000036</v>
      </c>
    </row>
    <row r="33" spans="1:19" x14ac:dyDescent="0.3">
      <c r="A33" s="2">
        <v>46241</v>
      </c>
      <c r="B33" s="3">
        <v>0.33333333333333331</v>
      </c>
      <c r="C33">
        <v>231</v>
      </c>
      <c r="D33">
        <v>229</v>
      </c>
      <c r="E33">
        <v>230</v>
      </c>
      <c r="F33" s="1">
        <v>14.55</v>
      </c>
      <c r="G33" s="1">
        <v>5.15</v>
      </c>
      <c r="H33" s="1">
        <v>4.583333333333333</v>
      </c>
      <c r="I33" s="1">
        <v>0.97989999999999999</v>
      </c>
      <c r="J33" s="1">
        <v>0</v>
      </c>
      <c r="K33" s="1">
        <v>0</v>
      </c>
      <c r="L33" s="1">
        <v>3183.3333333333298</v>
      </c>
      <c r="M33" s="1">
        <v>-566.66666666666663</v>
      </c>
      <c r="N33" s="1">
        <v>0</v>
      </c>
      <c r="O33" s="1">
        <f>(Table3[[#This Row],[P1_AVG (W)]]+Table3[[#This Row],[P2_AVG (W)]]+Table3[[#This Row],[P3_AVG (W)]])</f>
        <v>2616.6666666666633</v>
      </c>
      <c r="P33" s="1">
        <f>ABS(Table3[[#This Row],[P1_AVG (W)]])</f>
        <v>3183.3333333333298</v>
      </c>
      <c r="Q33" s="1">
        <f>ABS(Table3[[#This Row],[P2_AVG (W)]])</f>
        <v>566.66666666666663</v>
      </c>
      <c r="R33" s="1">
        <f>ABS(Table3[[#This Row],[P3_AVG (W)]])</f>
        <v>0</v>
      </c>
      <c r="S33" s="1">
        <f>SUM(Table3[[#This Row],[P1_AVG (W)2]:[P3_AVG (W)2]])</f>
        <v>3749.9999999999964</v>
      </c>
    </row>
    <row r="34" spans="1:19" x14ac:dyDescent="0.3">
      <c r="A34" s="2">
        <v>46241</v>
      </c>
      <c r="B34" s="3">
        <v>0.34375</v>
      </c>
      <c r="C34">
        <v>230</v>
      </c>
      <c r="D34">
        <v>228</v>
      </c>
      <c r="E34">
        <v>229</v>
      </c>
      <c r="F34" s="1">
        <v>16.966666666666665</v>
      </c>
      <c r="G34" s="1">
        <v>6.416666666666667</v>
      </c>
      <c r="H34" s="1">
        <v>13.95</v>
      </c>
      <c r="I34" s="1">
        <v>0.96940000000000004</v>
      </c>
      <c r="J34" s="1">
        <v>0</v>
      </c>
      <c r="K34" s="1">
        <v>0</v>
      </c>
      <c r="L34" s="1">
        <v>3616.6666666666702</v>
      </c>
      <c r="M34" s="1">
        <v>-750</v>
      </c>
      <c r="N34" s="1">
        <v>1516.6666666666667</v>
      </c>
      <c r="O34" s="1">
        <f>(Table3[[#This Row],[P1_AVG (W)]]+Table3[[#This Row],[P2_AVG (W)]]+Table3[[#This Row],[P3_AVG (W)]])</f>
        <v>4383.3333333333367</v>
      </c>
      <c r="P34" s="1">
        <f>ABS(Table3[[#This Row],[P1_AVG (W)]])</f>
        <v>3616.6666666666702</v>
      </c>
      <c r="Q34" s="1">
        <f>ABS(Table3[[#This Row],[P2_AVG (W)]])</f>
        <v>750</v>
      </c>
      <c r="R34" s="1">
        <f>ABS(Table3[[#This Row],[P3_AVG (W)]])</f>
        <v>1516.6666666666667</v>
      </c>
      <c r="S34" s="1">
        <f>SUM(Table3[[#This Row],[P1_AVG (W)2]:[P3_AVG (W)2]])</f>
        <v>5883.3333333333367</v>
      </c>
    </row>
    <row r="35" spans="1:19" x14ac:dyDescent="0.3">
      <c r="A35" s="2">
        <v>46241</v>
      </c>
      <c r="B35" s="3">
        <v>0.35416666666666669</v>
      </c>
      <c r="C35">
        <v>230</v>
      </c>
      <c r="D35">
        <v>227</v>
      </c>
      <c r="E35">
        <v>229</v>
      </c>
      <c r="F35" s="1">
        <v>12.15</v>
      </c>
      <c r="G35" s="1">
        <v>10.616666666666667</v>
      </c>
      <c r="H35" s="1">
        <v>13.833333333333334</v>
      </c>
      <c r="I35" s="1">
        <v>0</v>
      </c>
      <c r="J35" s="1">
        <v>0.97650000000000003</v>
      </c>
      <c r="K35" s="1">
        <v>0</v>
      </c>
      <c r="L35" s="1">
        <v>1650</v>
      </c>
      <c r="M35" s="1">
        <v>-1666.6666666666667</v>
      </c>
      <c r="N35" s="1">
        <v>1550</v>
      </c>
      <c r="O35" s="1">
        <f>(Table3[[#This Row],[P1_AVG (W)]]+Table3[[#This Row],[P2_AVG (W)]]+Table3[[#This Row],[P3_AVG (W)]])</f>
        <v>1533.3333333333333</v>
      </c>
      <c r="P35" s="1">
        <f>ABS(Table3[[#This Row],[P1_AVG (W)]])</f>
        <v>1650</v>
      </c>
      <c r="Q35" s="1">
        <f>ABS(Table3[[#This Row],[P2_AVG (W)]])</f>
        <v>1666.6666666666667</v>
      </c>
      <c r="R35" s="1">
        <f>ABS(Table3[[#This Row],[P3_AVG (W)]])</f>
        <v>1550</v>
      </c>
      <c r="S35" s="1">
        <f>SUM(Table3[[#This Row],[P1_AVG (W)2]:[P3_AVG (W)2]])</f>
        <v>4866.666666666667</v>
      </c>
    </row>
    <row r="36" spans="1:19" x14ac:dyDescent="0.3">
      <c r="A36" s="2">
        <v>46241</v>
      </c>
      <c r="B36" s="3">
        <v>0.36458333333333331</v>
      </c>
      <c r="C36">
        <v>229</v>
      </c>
      <c r="D36">
        <v>227</v>
      </c>
      <c r="E36">
        <v>228</v>
      </c>
      <c r="F36" s="1">
        <v>6.35</v>
      </c>
      <c r="G36" s="1">
        <v>14.983333333333333</v>
      </c>
      <c r="H36" s="1">
        <v>7.4833333333333334</v>
      </c>
      <c r="I36" s="1">
        <v>0</v>
      </c>
      <c r="J36" s="1">
        <v>0.78159999999999996</v>
      </c>
      <c r="K36" s="1">
        <v>0</v>
      </c>
      <c r="L36" s="1">
        <v>-83.3333333333333</v>
      </c>
      <c r="M36" s="1">
        <v>-2316.6666666666665</v>
      </c>
      <c r="N36" s="1">
        <v>600</v>
      </c>
      <c r="O36" s="1">
        <f>(Table3[[#This Row],[P1_AVG (W)]]+Table3[[#This Row],[P2_AVG (W)]]+Table3[[#This Row],[P3_AVG (W)]])</f>
        <v>-1800</v>
      </c>
      <c r="P36" s="1">
        <f>ABS(Table3[[#This Row],[P1_AVG (W)]])</f>
        <v>83.3333333333333</v>
      </c>
      <c r="Q36" s="1">
        <f>ABS(Table3[[#This Row],[P2_AVG (W)]])</f>
        <v>2316.6666666666665</v>
      </c>
      <c r="R36" s="1">
        <f>ABS(Table3[[#This Row],[P3_AVG (W)]])</f>
        <v>600</v>
      </c>
      <c r="S36" s="1">
        <f>SUM(Table3[[#This Row],[P1_AVG (W)2]:[P3_AVG (W)2]])</f>
        <v>3000</v>
      </c>
    </row>
    <row r="37" spans="1:19" x14ac:dyDescent="0.3">
      <c r="A37" s="2">
        <v>46241</v>
      </c>
      <c r="B37" s="3">
        <v>0.375</v>
      </c>
      <c r="C37">
        <v>229</v>
      </c>
      <c r="D37">
        <v>226</v>
      </c>
      <c r="E37">
        <v>228</v>
      </c>
      <c r="F37" s="1">
        <v>7.1166666666666663</v>
      </c>
      <c r="G37" s="1">
        <v>16.983333333333334</v>
      </c>
      <c r="H37" s="1">
        <v>6.25</v>
      </c>
      <c r="I37" s="1">
        <v>0</v>
      </c>
      <c r="J37" s="1">
        <v>0.74509999999999998</v>
      </c>
      <c r="K37" s="1">
        <v>0</v>
      </c>
      <c r="L37" s="1">
        <v>-900</v>
      </c>
      <c r="M37" s="1">
        <v>-2600</v>
      </c>
      <c r="N37" s="1">
        <v>316.66666666666669</v>
      </c>
      <c r="O37" s="1">
        <f>(Table3[[#This Row],[P1_AVG (W)]]+Table3[[#This Row],[P2_AVG (W)]]+Table3[[#This Row],[P3_AVG (W)]])</f>
        <v>-3183.3333333333335</v>
      </c>
      <c r="P37" s="1">
        <f>ABS(Table3[[#This Row],[P1_AVG (W)]])</f>
        <v>900</v>
      </c>
      <c r="Q37" s="1">
        <f>ABS(Table3[[#This Row],[P2_AVG (W)]])</f>
        <v>2600</v>
      </c>
      <c r="R37" s="1">
        <f>ABS(Table3[[#This Row],[P3_AVG (W)]])</f>
        <v>316.66666666666669</v>
      </c>
      <c r="S37" s="1">
        <f>SUM(Table3[[#This Row],[P1_AVG (W)2]:[P3_AVG (W)2]])</f>
        <v>3816.6666666666665</v>
      </c>
    </row>
    <row r="38" spans="1:19" x14ac:dyDescent="0.3">
      <c r="A38" s="2">
        <v>46241</v>
      </c>
      <c r="B38" s="3">
        <v>0.38541666666666669</v>
      </c>
      <c r="C38">
        <v>229</v>
      </c>
      <c r="D38">
        <v>227</v>
      </c>
      <c r="E38">
        <v>228</v>
      </c>
      <c r="F38" s="1">
        <v>7.7666666666666666</v>
      </c>
      <c r="G38" s="1">
        <v>19.133333333333333</v>
      </c>
      <c r="H38" s="1">
        <v>3.7333333333333334</v>
      </c>
      <c r="I38" s="1">
        <v>0.97</v>
      </c>
      <c r="J38" s="1">
        <v>0.68279999999999996</v>
      </c>
      <c r="K38" s="1">
        <v>-4.7500000000000001E-2</v>
      </c>
      <c r="L38" s="1">
        <v>-1700</v>
      </c>
      <c r="M38" s="1">
        <v>-2950</v>
      </c>
      <c r="N38" s="1">
        <v>16.666666666666668</v>
      </c>
      <c r="O38" s="1">
        <f>(Table3[[#This Row],[P1_AVG (W)]]+Table3[[#This Row],[P2_AVG (W)]]+Table3[[#This Row],[P3_AVG (W)]])</f>
        <v>-4633.333333333333</v>
      </c>
      <c r="P38" s="1">
        <f>ABS(Table3[[#This Row],[P1_AVG (W)]])</f>
        <v>1700</v>
      </c>
      <c r="Q38" s="1">
        <f>ABS(Table3[[#This Row],[P2_AVG (W)]])</f>
        <v>2950</v>
      </c>
      <c r="R38" s="1">
        <f>ABS(Table3[[#This Row],[P3_AVG (W)]])</f>
        <v>16.666666666666668</v>
      </c>
      <c r="S38" s="1">
        <f>SUM(Table3[[#This Row],[P1_AVG (W)2]:[P3_AVG (W)2]])</f>
        <v>4666.666666666667</v>
      </c>
    </row>
    <row r="39" spans="1:19" x14ac:dyDescent="0.3">
      <c r="A39" s="2">
        <v>46241</v>
      </c>
      <c r="B39" s="3">
        <v>0.39583333333333331</v>
      </c>
      <c r="C39">
        <v>229</v>
      </c>
      <c r="D39">
        <v>227</v>
      </c>
      <c r="E39">
        <v>229</v>
      </c>
      <c r="F39" s="1">
        <v>8.6166666666666671</v>
      </c>
      <c r="G39" s="1">
        <v>18.716666666666665</v>
      </c>
      <c r="H39" s="1">
        <v>4.583333333333333</v>
      </c>
      <c r="I39" s="1">
        <v>0</v>
      </c>
      <c r="J39" s="1">
        <v>0.68830000000000002</v>
      </c>
      <c r="K39" s="1">
        <v>-1.9E-3</v>
      </c>
      <c r="L39" s="1">
        <v>-1866.6666666666699</v>
      </c>
      <c r="M39" s="1">
        <v>-2883.3333333333335</v>
      </c>
      <c r="N39" s="1">
        <v>0</v>
      </c>
      <c r="O39" s="1">
        <f>(Table3[[#This Row],[P1_AVG (W)]]+Table3[[#This Row],[P2_AVG (W)]]+Table3[[#This Row],[P3_AVG (W)]])</f>
        <v>-4750.0000000000036</v>
      </c>
      <c r="P39" s="1">
        <f>ABS(Table3[[#This Row],[P1_AVG (W)]])</f>
        <v>1866.6666666666699</v>
      </c>
      <c r="Q39" s="1">
        <f>ABS(Table3[[#This Row],[P2_AVG (W)]])</f>
        <v>2883.3333333333335</v>
      </c>
      <c r="R39" s="1">
        <f>ABS(Table3[[#This Row],[P3_AVG (W)]])</f>
        <v>0</v>
      </c>
      <c r="S39" s="1">
        <f>SUM(Table3[[#This Row],[P1_AVG (W)2]:[P3_AVG (W)2]])</f>
        <v>4750.0000000000036</v>
      </c>
    </row>
    <row r="40" spans="1:19" x14ac:dyDescent="0.3">
      <c r="A40" s="2">
        <v>46241</v>
      </c>
      <c r="B40" s="3">
        <v>0.40625</v>
      </c>
      <c r="C40">
        <v>229</v>
      </c>
      <c r="D40">
        <v>227</v>
      </c>
      <c r="E40">
        <v>230</v>
      </c>
      <c r="F40" s="1">
        <v>9.5500000000000007</v>
      </c>
      <c r="G40" s="1">
        <v>20.816666666666666</v>
      </c>
      <c r="H40" s="1">
        <v>5.3833333333333337</v>
      </c>
      <c r="I40" s="1">
        <v>0</v>
      </c>
      <c r="J40" s="1">
        <v>0.66920000000000002</v>
      </c>
      <c r="K40" s="1">
        <v>-2.9700000000000001E-2</v>
      </c>
      <c r="L40" s="1">
        <v>-2116.6666666666702</v>
      </c>
      <c r="M40" s="1">
        <v>-3166.6666666666665</v>
      </c>
      <c r="N40" s="1">
        <v>-16.666666666666668</v>
      </c>
      <c r="O40" s="1">
        <f>(Table3[[#This Row],[P1_AVG (W)]]+Table3[[#This Row],[P2_AVG (W)]]+Table3[[#This Row],[P3_AVG (W)]])</f>
        <v>-5300.0000000000036</v>
      </c>
      <c r="P40" s="1">
        <f>ABS(Table3[[#This Row],[P1_AVG (W)]])</f>
        <v>2116.6666666666702</v>
      </c>
      <c r="Q40" s="1">
        <f>ABS(Table3[[#This Row],[P2_AVG (W)]])</f>
        <v>3166.6666666666665</v>
      </c>
      <c r="R40" s="1">
        <f>ABS(Table3[[#This Row],[P3_AVG (W)]])</f>
        <v>16.666666666666668</v>
      </c>
      <c r="S40" s="1">
        <f>SUM(Table3[[#This Row],[P1_AVG (W)2]:[P3_AVG (W)2]])</f>
        <v>5300.0000000000036</v>
      </c>
    </row>
    <row r="41" spans="1:19" x14ac:dyDescent="0.3">
      <c r="A41" s="2">
        <v>46241</v>
      </c>
      <c r="B41" s="3">
        <v>0.41666666666666669</v>
      </c>
      <c r="C41">
        <v>229</v>
      </c>
      <c r="D41">
        <v>227</v>
      </c>
      <c r="E41">
        <v>229</v>
      </c>
      <c r="F41" s="1">
        <v>10.366666666666667</v>
      </c>
      <c r="G41" s="1">
        <v>22.083333333333332</v>
      </c>
      <c r="H41" s="1">
        <v>6.2166666666666668</v>
      </c>
      <c r="I41" s="1">
        <v>0.83079999999999998</v>
      </c>
      <c r="J41" s="1">
        <v>0.65900000000000003</v>
      </c>
      <c r="K41" s="1">
        <v>-6.4799999999999996E-2</v>
      </c>
      <c r="L41" s="1">
        <v>-2016.6666666666699</v>
      </c>
      <c r="M41" s="1">
        <v>-3300</v>
      </c>
      <c r="N41" s="1">
        <v>-83.333333333333329</v>
      </c>
      <c r="O41" s="1">
        <f>(Table3[[#This Row],[P1_AVG (W)]]+Table3[[#This Row],[P2_AVG (W)]]+Table3[[#This Row],[P3_AVG (W)]])</f>
        <v>-5400.0000000000027</v>
      </c>
      <c r="P41" s="1">
        <f>ABS(Table3[[#This Row],[P1_AVG (W)]])</f>
        <v>2016.6666666666699</v>
      </c>
      <c r="Q41" s="1">
        <f>ABS(Table3[[#This Row],[P2_AVG (W)]])</f>
        <v>3300</v>
      </c>
      <c r="R41" s="1">
        <f>ABS(Table3[[#This Row],[P3_AVG (W)]])</f>
        <v>83.333333333333329</v>
      </c>
      <c r="S41" s="1">
        <f>SUM(Table3[[#This Row],[P1_AVG (W)2]:[P3_AVG (W)2]])</f>
        <v>5400.0000000000027</v>
      </c>
    </row>
    <row r="42" spans="1:19" x14ac:dyDescent="0.3">
      <c r="A42" s="2">
        <v>46241</v>
      </c>
      <c r="B42" s="3">
        <v>0.42708333333333331</v>
      </c>
      <c r="C42">
        <v>229</v>
      </c>
      <c r="D42">
        <v>227</v>
      </c>
      <c r="E42">
        <v>229</v>
      </c>
      <c r="F42" s="1">
        <v>11.083333333333334</v>
      </c>
      <c r="G42" s="1">
        <v>15.533333333333333</v>
      </c>
      <c r="H42" s="1">
        <v>6.833333333333333</v>
      </c>
      <c r="I42" s="1">
        <v>0.83699999999999997</v>
      </c>
      <c r="J42" s="1">
        <v>0.8931</v>
      </c>
      <c r="K42" s="1">
        <v>-5.6300000000000003E-2</v>
      </c>
      <c r="L42" s="1">
        <v>-2133.3333333333298</v>
      </c>
      <c r="M42" s="1">
        <v>-3150</v>
      </c>
      <c r="N42" s="1">
        <v>-83.333333333333329</v>
      </c>
      <c r="O42" s="1">
        <f>(Table3[[#This Row],[P1_AVG (W)]]+Table3[[#This Row],[P2_AVG (W)]]+Table3[[#This Row],[P3_AVG (W)]])</f>
        <v>-5366.6666666666633</v>
      </c>
      <c r="P42" s="1">
        <f>ABS(Table3[[#This Row],[P1_AVG (W)]])</f>
        <v>2133.3333333333298</v>
      </c>
      <c r="Q42" s="1">
        <f>ABS(Table3[[#This Row],[P2_AVG (W)]])</f>
        <v>3150</v>
      </c>
      <c r="R42" s="1">
        <f>ABS(Table3[[#This Row],[P3_AVG (W)]])</f>
        <v>83.333333333333329</v>
      </c>
      <c r="S42" s="1">
        <f>SUM(Table3[[#This Row],[P1_AVG (W)2]:[P3_AVG (W)2]])</f>
        <v>5366.6666666666633</v>
      </c>
    </row>
    <row r="43" spans="1:19" x14ac:dyDescent="0.3">
      <c r="A43" s="2">
        <v>46241</v>
      </c>
      <c r="B43" s="3">
        <v>0.4375</v>
      </c>
      <c r="C43">
        <v>228</v>
      </c>
      <c r="D43">
        <v>227</v>
      </c>
      <c r="E43">
        <v>229</v>
      </c>
      <c r="F43" s="1">
        <v>11.383333333333333</v>
      </c>
      <c r="G43" s="1">
        <v>15.866666666666667</v>
      </c>
      <c r="H43" s="1">
        <v>7.1166666666666663</v>
      </c>
      <c r="I43" s="1">
        <v>0.86219999999999997</v>
      </c>
      <c r="J43" s="1">
        <v>0.89629999999999999</v>
      </c>
      <c r="K43" s="1">
        <v>-0.13489999999999999</v>
      </c>
      <c r="L43" s="1">
        <v>-2233.3333333333298</v>
      </c>
      <c r="M43" s="1">
        <v>-3183.3333333333335</v>
      </c>
      <c r="N43" s="1">
        <v>-133.33333333333334</v>
      </c>
      <c r="O43" s="1">
        <f>(Table3[[#This Row],[P1_AVG (W)]]+Table3[[#This Row],[P2_AVG (W)]]+Table3[[#This Row],[P3_AVG (W)]])</f>
        <v>-5549.9999999999964</v>
      </c>
      <c r="P43" s="1">
        <f>ABS(Table3[[#This Row],[P1_AVG (W)]])</f>
        <v>2233.3333333333298</v>
      </c>
      <c r="Q43" s="1">
        <f>ABS(Table3[[#This Row],[P2_AVG (W)]])</f>
        <v>3183.3333333333335</v>
      </c>
      <c r="R43" s="1">
        <f>ABS(Table3[[#This Row],[P3_AVG (W)]])</f>
        <v>133.33333333333334</v>
      </c>
      <c r="S43" s="1">
        <f>SUM(Table3[[#This Row],[P1_AVG (W)2]:[P3_AVG (W)2]])</f>
        <v>5549.9999999999964</v>
      </c>
    </row>
    <row r="44" spans="1:19" x14ac:dyDescent="0.3">
      <c r="A44" s="2">
        <v>46241</v>
      </c>
      <c r="B44" s="3">
        <v>0.44791666666666669</v>
      </c>
      <c r="C44">
        <v>228</v>
      </c>
      <c r="D44">
        <v>227</v>
      </c>
      <c r="E44">
        <v>229</v>
      </c>
      <c r="F44" s="1">
        <v>12.533333333333333</v>
      </c>
      <c r="G44" s="1">
        <v>16.566666666666666</v>
      </c>
      <c r="H44" s="1">
        <v>7.9666666666666668</v>
      </c>
      <c r="I44" s="1">
        <v>0.85589999999999999</v>
      </c>
      <c r="J44" s="1">
        <v>0.9042</v>
      </c>
      <c r="K44" s="1">
        <v>-0.24440000000000001</v>
      </c>
      <c r="L44" s="1">
        <v>-2383.3333333333298</v>
      </c>
      <c r="M44" s="1">
        <v>-3266.6666666666665</v>
      </c>
      <c r="N44" s="1">
        <v>-233.33333333333334</v>
      </c>
      <c r="O44" s="1">
        <f>(Table3[[#This Row],[P1_AVG (W)]]+Table3[[#This Row],[P2_AVG (W)]]+Table3[[#This Row],[P3_AVG (W)]])</f>
        <v>-5883.3333333333294</v>
      </c>
      <c r="P44" s="1">
        <f>ABS(Table3[[#This Row],[P1_AVG (W)]])</f>
        <v>2383.3333333333298</v>
      </c>
      <c r="Q44" s="1">
        <f>ABS(Table3[[#This Row],[P2_AVG (W)]])</f>
        <v>3266.6666666666665</v>
      </c>
      <c r="R44" s="1">
        <f>ABS(Table3[[#This Row],[P3_AVG (W)]])</f>
        <v>233.33333333333334</v>
      </c>
      <c r="S44" s="1">
        <f>SUM(Table3[[#This Row],[P1_AVG (W)2]:[P3_AVG (W)2]])</f>
        <v>5883.3333333333294</v>
      </c>
    </row>
    <row r="45" spans="1:19" x14ac:dyDescent="0.3">
      <c r="A45" s="2">
        <v>46241</v>
      </c>
      <c r="B45" s="3">
        <v>0.45833333333333331</v>
      </c>
      <c r="C45">
        <v>228</v>
      </c>
      <c r="D45">
        <v>226</v>
      </c>
      <c r="E45">
        <v>228</v>
      </c>
      <c r="F45" s="1">
        <v>11.383333333333333</v>
      </c>
      <c r="G45" s="1">
        <v>15.616666666666667</v>
      </c>
      <c r="H45" s="1">
        <v>7.5166666666666666</v>
      </c>
      <c r="I45" s="1">
        <v>0.90039999999999998</v>
      </c>
      <c r="J45" s="1">
        <v>0.90839999999999999</v>
      </c>
      <c r="K45" s="1">
        <v>-0.17829999999999999</v>
      </c>
      <c r="L45" s="1">
        <v>-2333.3333333333298</v>
      </c>
      <c r="M45" s="1">
        <v>-3183.3333333333335</v>
      </c>
      <c r="N45" s="1">
        <v>-266.66666666666669</v>
      </c>
      <c r="O45" s="1">
        <f>(Table3[[#This Row],[P1_AVG (W)]]+Table3[[#This Row],[P2_AVG (W)]]+Table3[[#This Row],[P3_AVG (W)]])</f>
        <v>-5783.3333333333303</v>
      </c>
      <c r="P45" s="1">
        <f>ABS(Table3[[#This Row],[P1_AVG (W)]])</f>
        <v>2333.3333333333298</v>
      </c>
      <c r="Q45" s="1">
        <f>ABS(Table3[[#This Row],[P2_AVG (W)]])</f>
        <v>3183.3333333333335</v>
      </c>
      <c r="R45" s="1">
        <f>ABS(Table3[[#This Row],[P3_AVG (W)]])</f>
        <v>266.66666666666669</v>
      </c>
      <c r="S45" s="1">
        <f>SUM(Table3[[#This Row],[P1_AVG (W)2]:[P3_AVG (W)2]])</f>
        <v>5783.3333333333303</v>
      </c>
    </row>
    <row r="46" spans="1:19" x14ac:dyDescent="0.3">
      <c r="A46" s="2">
        <v>46241</v>
      </c>
      <c r="B46" s="3">
        <v>0.46875</v>
      </c>
      <c r="C46">
        <v>227</v>
      </c>
      <c r="D46">
        <v>226</v>
      </c>
      <c r="E46">
        <v>228</v>
      </c>
      <c r="F46" s="1">
        <v>10.3</v>
      </c>
      <c r="G46" s="1">
        <v>15.2</v>
      </c>
      <c r="H46" s="1">
        <v>7.0166666666666666</v>
      </c>
      <c r="I46" s="1">
        <v>0.86060000000000003</v>
      </c>
      <c r="J46" s="1">
        <v>0.91320000000000001</v>
      </c>
      <c r="K46" s="1">
        <v>-9.5100000000000004E-2</v>
      </c>
      <c r="L46" s="1">
        <v>-2050</v>
      </c>
      <c r="M46" s="1">
        <v>-3133.3333333333335</v>
      </c>
      <c r="N46" s="1">
        <v>-150</v>
      </c>
      <c r="O46" s="1">
        <f>(Table3[[#This Row],[P1_AVG (W)]]+Table3[[#This Row],[P2_AVG (W)]]+Table3[[#This Row],[P3_AVG (W)]])</f>
        <v>-5333.3333333333339</v>
      </c>
      <c r="P46" s="1">
        <f>ABS(Table3[[#This Row],[P1_AVG (W)]])</f>
        <v>2050</v>
      </c>
      <c r="Q46" s="1">
        <f>ABS(Table3[[#This Row],[P2_AVG (W)]])</f>
        <v>3133.3333333333335</v>
      </c>
      <c r="R46" s="1">
        <f>ABS(Table3[[#This Row],[P3_AVG (W)]])</f>
        <v>150</v>
      </c>
      <c r="S46" s="1">
        <f>SUM(Table3[[#This Row],[P1_AVG (W)2]:[P3_AVG (W)2]])</f>
        <v>5333.3333333333339</v>
      </c>
    </row>
    <row r="47" spans="1:19" x14ac:dyDescent="0.3">
      <c r="A47" s="2">
        <v>46241</v>
      </c>
      <c r="B47" s="3">
        <v>0.47916666666666669</v>
      </c>
      <c r="C47">
        <v>227</v>
      </c>
      <c r="D47">
        <v>225</v>
      </c>
      <c r="E47">
        <v>227</v>
      </c>
      <c r="F47" s="1">
        <v>11.416666666666666</v>
      </c>
      <c r="G47" s="1">
        <v>15.233333333333333</v>
      </c>
      <c r="H47" s="1">
        <v>6.166666666666667</v>
      </c>
      <c r="I47" s="1">
        <v>0.876</v>
      </c>
      <c r="J47" s="1">
        <v>0.91449999999999998</v>
      </c>
      <c r="K47" s="1">
        <v>-0.3155</v>
      </c>
      <c r="L47" s="1">
        <v>-2266.6666666666702</v>
      </c>
      <c r="M47" s="1">
        <v>-3116.6666666666665</v>
      </c>
      <c r="N47" s="1">
        <v>83.333333333333329</v>
      </c>
      <c r="O47" s="1">
        <f>(Table3[[#This Row],[P1_AVG (W)]]+Table3[[#This Row],[P2_AVG (W)]]+Table3[[#This Row],[P3_AVG (W)]])</f>
        <v>-5300.0000000000036</v>
      </c>
      <c r="P47" s="1">
        <f>ABS(Table3[[#This Row],[P1_AVG (W)]])</f>
        <v>2266.6666666666702</v>
      </c>
      <c r="Q47" s="1">
        <f>ABS(Table3[[#This Row],[P2_AVG (W)]])</f>
        <v>3116.6666666666665</v>
      </c>
      <c r="R47" s="1">
        <f>ABS(Table3[[#This Row],[P3_AVG (W)]])</f>
        <v>83.333333333333329</v>
      </c>
      <c r="S47" s="1">
        <f>SUM(Table3[[#This Row],[P1_AVG (W)2]:[P3_AVG (W)2]])</f>
        <v>5466.6666666666697</v>
      </c>
    </row>
    <row r="48" spans="1:19" x14ac:dyDescent="0.3">
      <c r="A48" s="2">
        <v>46241</v>
      </c>
      <c r="B48" s="3">
        <v>0.48958333333333331</v>
      </c>
      <c r="C48">
        <v>226</v>
      </c>
      <c r="D48">
        <v>225</v>
      </c>
      <c r="E48">
        <v>227</v>
      </c>
      <c r="F48" s="1">
        <v>10.3</v>
      </c>
      <c r="G48" s="1">
        <v>14.116666666666667</v>
      </c>
      <c r="H48" s="1">
        <v>6.416666666666667</v>
      </c>
      <c r="I48" s="1">
        <v>0.65059999999999996</v>
      </c>
      <c r="J48" s="1">
        <v>0.96009999999999995</v>
      </c>
      <c r="K48" s="1">
        <v>-0.154</v>
      </c>
      <c r="L48" s="1">
        <v>-1316.6666666666699</v>
      </c>
      <c r="M48" s="1">
        <v>-2883.3333333333335</v>
      </c>
      <c r="N48" s="1">
        <v>116.66666666666667</v>
      </c>
      <c r="O48" s="1">
        <f>(Table3[[#This Row],[P1_AVG (W)]]+Table3[[#This Row],[P2_AVG (W)]]+Table3[[#This Row],[P3_AVG (W)]])</f>
        <v>-4083.3333333333371</v>
      </c>
      <c r="P48" s="1">
        <f>ABS(Table3[[#This Row],[P1_AVG (W)]])</f>
        <v>1316.6666666666699</v>
      </c>
      <c r="Q48" s="1">
        <f>ABS(Table3[[#This Row],[P2_AVG (W)]])</f>
        <v>2883.3333333333335</v>
      </c>
      <c r="R48" s="1">
        <f>ABS(Table3[[#This Row],[P3_AVG (W)]])</f>
        <v>116.66666666666667</v>
      </c>
      <c r="S48" s="1">
        <f>SUM(Table3[[#This Row],[P1_AVG (W)2]:[P3_AVG (W)2]])</f>
        <v>4316.6666666666706</v>
      </c>
    </row>
    <row r="49" spans="1:19" x14ac:dyDescent="0.3">
      <c r="A49" s="2">
        <v>46241</v>
      </c>
      <c r="B49" s="3">
        <v>0.5</v>
      </c>
      <c r="C49">
        <v>226</v>
      </c>
      <c r="D49">
        <v>225</v>
      </c>
      <c r="E49">
        <v>227</v>
      </c>
      <c r="F49" s="1">
        <v>11.15</v>
      </c>
      <c r="G49" s="1">
        <v>14.266666666666667</v>
      </c>
      <c r="H49" s="1">
        <v>8.5500000000000007</v>
      </c>
      <c r="I49" s="1">
        <v>0.59360000000000002</v>
      </c>
      <c r="J49" s="1">
        <v>-0.93789999999999996</v>
      </c>
      <c r="K49" s="1">
        <v>-0.29680000000000001</v>
      </c>
      <c r="L49" s="1">
        <v>-633.33333333333303</v>
      </c>
      <c r="M49" s="1">
        <v>-2616.6666666666665</v>
      </c>
      <c r="N49" s="1">
        <v>416.66666666666669</v>
      </c>
      <c r="O49" s="1">
        <f>(Table3[[#This Row],[P1_AVG (W)]]+Table3[[#This Row],[P2_AVG (W)]]+Table3[[#This Row],[P3_AVG (W)]])</f>
        <v>-2833.333333333333</v>
      </c>
      <c r="P49" s="1">
        <f>ABS(Table3[[#This Row],[P1_AVG (W)]])</f>
        <v>633.33333333333303</v>
      </c>
      <c r="Q49" s="1">
        <f>ABS(Table3[[#This Row],[P2_AVG (W)]])</f>
        <v>2616.6666666666665</v>
      </c>
      <c r="R49" s="1">
        <f>ABS(Table3[[#This Row],[P3_AVG (W)]])</f>
        <v>416.66666666666669</v>
      </c>
      <c r="S49" s="1">
        <f>SUM(Table3[[#This Row],[P1_AVG (W)2]:[P3_AVG (W)2]])</f>
        <v>3666.6666666666661</v>
      </c>
    </row>
    <row r="50" spans="1:19" x14ac:dyDescent="0.3">
      <c r="A50" s="2">
        <v>46241</v>
      </c>
      <c r="B50" s="3">
        <v>0.51041666666666663</v>
      </c>
      <c r="C50">
        <v>226</v>
      </c>
      <c r="D50">
        <v>224</v>
      </c>
      <c r="E50">
        <v>226</v>
      </c>
      <c r="F50" s="1">
        <v>11.25</v>
      </c>
      <c r="G50" s="1">
        <v>13.666666666666666</v>
      </c>
      <c r="H50" s="1">
        <v>11.616666666666667</v>
      </c>
      <c r="I50" s="1">
        <v>0</v>
      </c>
      <c r="J50" s="1">
        <v>-0.57979999999999998</v>
      </c>
      <c r="K50" s="1">
        <v>0</v>
      </c>
      <c r="L50" s="1">
        <v>-150</v>
      </c>
      <c r="M50" s="1">
        <v>-1533.3333333333333</v>
      </c>
      <c r="N50" s="1">
        <v>916.66666666666663</v>
      </c>
      <c r="O50" s="1">
        <f>(Table3[[#This Row],[P1_AVG (W)]]+Table3[[#This Row],[P2_AVG (W)]]+Table3[[#This Row],[P3_AVG (W)]])</f>
        <v>-766.66666666666663</v>
      </c>
      <c r="P50" s="1">
        <f>ABS(Table3[[#This Row],[P1_AVG (W)]])</f>
        <v>150</v>
      </c>
      <c r="Q50" s="1">
        <f>ABS(Table3[[#This Row],[P2_AVG (W)]])</f>
        <v>1533.3333333333333</v>
      </c>
      <c r="R50" s="1">
        <f>ABS(Table3[[#This Row],[P3_AVG (W)]])</f>
        <v>916.66666666666663</v>
      </c>
      <c r="S50" s="1">
        <f>SUM(Table3[[#This Row],[P1_AVG (W)2]:[P3_AVG (W)2]])</f>
        <v>2600</v>
      </c>
    </row>
    <row r="51" spans="1:19" x14ac:dyDescent="0.3">
      <c r="A51" s="2">
        <v>46241</v>
      </c>
      <c r="B51" s="3">
        <v>0.52083333333333337</v>
      </c>
      <c r="C51">
        <v>227</v>
      </c>
      <c r="D51">
        <v>226</v>
      </c>
      <c r="E51">
        <v>227</v>
      </c>
      <c r="F51" s="1">
        <v>16.616666666666667</v>
      </c>
      <c r="G51" s="1">
        <v>13.45</v>
      </c>
      <c r="H51" s="1">
        <v>11.1</v>
      </c>
      <c r="I51" s="1">
        <v>-0.89959999999999996</v>
      </c>
      <c r="J51" s="1">
        <v>-0.86019999999999996</v>
      </c>
      <c r="K51" s="1">
        <v>0</v>
      </c>
      <c r="L51" s="1">
        <v>-3083.3333333333298</v>
      </c>
      <c r="M51" s="1">
        <v>-2233.3333333333335</v>
      </c>
      <c r="N51" s="1">
        <v>-683.33333333333337</v>
      </c>
      <c r="O51" s="1">
        <f>(Table3[[#This Row],[P1_AVG (W)]]+Table3[[#This Row],[P2_AVG (W)]]+Table3[[#This Row],[P3_AVG (W)]])</f>
        <v>-5999.9999999999964</v>
      </c>
      <c r="P51" s="1">
        <f>ABS(Table3[[#This Row],[P1_AVG (W)]])</f>
        <v>3083.3333333333298</v>
      </c>
      <c r="Q51" s="1">
        <f>ABS(Table3[[#This Row],[P2_AVG (W)]])</f>
        <v>2233.3333333333335</v>
      </c>
      <c r="R51" s="1">
        <f>ABS(Table3[[#This Row],[P3_AVG (W)]])</f>
        <v>683.33333333333337</v>
      </c>
      <c r="S51" s="1">
        <f>SUM(Table3[[#This Row],[P1_AVG (W)2]:[P3_AVG (W)2]])</f>
        <v>5999.9999999999964</v>
      </c>
    </row>
    <row r="52" spans="1:19" x14ac:dyDescent="0.3">
      <c r="A52" s="2">
        <v>46241</v>
      </c>
      <c r="B52" s="3">
        <v>0.53125</v>
      </c>
      <c r="C52">
        <v>227</v>
      </c>
      <c r="D52">
        <v>226</v>
      </c>
      <c r="E52">
        <v>227</v>
      </c>
      <c r="F52" s="1">
        <v>19.583333333333332</v>
      </c>
      <c r="G52" s="1">
        <v>14.433333333333334</v>
      </c>
      <c r="H52" s="1">
        <v>11.216666666666667</v>
      </c>
      <c r="I52" s="1">
        <v>-0.98680000000000001</v>
      </c>
      <c r="J52" s="1">
        <v>0.85060000000000002</v>
      </c>
      <c r="K52" s="1">
        <v>0</v>
      </c>
      <c r="L52" s="1">
        <v>-4366.6666666666697</v>
      </c>
      <c r="M52" s="1">
        <v>-2700</v>
      </c>
      <c r="N52" s="1">
        <v>-1083.3333333333333</v>
      </c>
      <c r="O52" s="1">
        <f>(Table3[[#This Row],[P1_AVG (W)]]+Table3[[#This Row],[P2_AVG (W)]]+Table3[[#This Row],[P3_AVG (W)]])</f>
        <v>-8150.0000000000027</v>
      </c>
      <c r="P52" s="1">
        <f>ABS(Table3[[#This Row],[P1_AVG (W)]])</f>
        <v>4366.6666666666697</v>
      </c>
      <c r="Q52" s="1">
        <f>ABS(Table3[[#This Row],[P2_AVG (W)]])</f>
        <v>2700</v>
      </c>
      <c r="R52" s="1">
        <f>ABS(Table3[[#This Row],[P3_AVG (W)]])</f>
        <v>1083.3333333333333</v>
      </c>
      <c r="S52" s="1">
        <f>SUM(Table3[[#This Row],[P1_AVG (W)2]:[P3_AVG (W)2]])</f>
        <v>8150.0000000000027</v>
      </c>
    </row>
    <row r="53" spans="1:19" x14ac:dyDescent="0.3">
      <c r="A53" s="2">
        <v>46210</v>
      </c>
      <c r="B53" s="3">
        <v>0.58333333333333337</v>
      </c>
      <c r="C53">
        <v>232</v>
      </c>
      <c r="D53">
        <v>231</v>
      </c>
      <c r="E53">
        <v>232</v>
      </c>
      <c r="F53" s="1">
        <v>10.066666666666666</v>
      </c>
      <c r="G53" s="1">
        <v>10.95</v>
      </c>
      <c r="H53" s="1">
        <v>14.966666666666667</v>
      </c>
      <c r="I53" s="1">
        <v>0</v>
      </c>
      <c r="J53" s="1">
        <v>-0.81089999999999995</v>
      </c>
      <c r="K53" s="1">
        <v>0</v>
      </c>
      <c r="L53" s="1">
        <v>-66.6666666666667</v>
      </c>
      <c r="M53" s="1">
        <v>-1500</v>
      </c>
      <c r="N53" s="1">
        <v>-1316.6666666666667</v>
      </c>
      <c r="O53" s="1">
        <f>(Table3[[#This Row],[P1_AVG (W)]]+Table3[[#This Row],[P2_AVG (W)]]+Table3[[#This Row],[P3_AVG (W)]])</f>
        <v>-2883.3333333333335</v>
      </c>
      <c r="P53" s="1">
        <f>ABS(Table3[[#This Row],[P1_AVG (W)]])</f>
        <v>66.6666666666667</v>
      </c>
      <c r="Q53" s="1">
        <f>ABS(Table3[[#This Row],[P2_AVG (W)]])</f>
        <v>1500</v>
      </c>
      <c r="R53" s="1">
        <f>ABS(Table3[[#This Row],[P3_AVG (W)]])</f>
        <v>1316.6666666666667</v>
      </c>
      <c r="S53" s="1">
        <f>SUM(Table3[[#This Row],[P1_AVG (W)2]:[P3_AVG (W)2]])</f>
        <v>2883.3333333333335</v>
      </c>
    </row>
    <row r="54" spans="1:19" x14ac:dyDescent="0.3">
      <c r="A54" s="2">
        <v>46210</v>
      </c>
      <c r="B54" s="3">
        <v>0.59375</v>
      </c>
      <c r="C54">
        <v>231</v>
      </c>
      <c r="D54">
        <v>229</v>
      </c>
      <c r="E54">
        <v>231</v>
      </c>
      <c r="F54" s="1">
        <v>8.8000000000000007</v>
      </c>
      <c r="G54" s="1">
        <v>10.050000000000001</v>
      </c>
      <c r="H54" s="1">
        <v>14.266666666666667</v>
      </c>
      <c r="I54" s="1">
        <v>0</v>
      </c>
      <c r="J54" s="1">
        <v>-0.76780000000000004</v>
      </c>
      <c r="K54" s="1">
        <v>0</v>
      </c>
      <c r="L54" s="1">
        <v>33.3333333333333</v>
      </c>
      <c r="M54" s="1">
        <v>-1383.3333333333333</v>
      </c>
      <c r="N54" s="1">
        <v>-1266.6666666666667</v>
      </c>
      <c r="O54" s="1">
        <f>(Table3[[#This Row],[P1_AVG (W)]]+Table3[[#This Row],[P2_AVG (W)]]+Table3[[#This Row],[P3_AVG (W)]])</f>
        <v>-2616.666666666667</v>
      </c>
      <c r="P54" s="1">
        <f>ABS(Table3[[#This Row],[P1_AVG (W)]])</f>
        <v>33.3333333333333</v>
      </c>
      <c r="Q54" s="1">
        <f>ABS(Table3[[#This Row],[P2_AVG (W)]])</f>
        <v>1383.3333333333333</v>
      </c>
      <c r="R54" s="1">
        <f>ABS(Table3[[#This Row],[P3_AVG (W)]])</f>
        <v>1266.6666666666667</v>
      </c>
      <c r="S54" s="1">
        <f>SUM(Table3[[#This Row],[P1_AVG (W)2]:[P3_AVG (W)2]])</f>
        <v>2683.333333333333</v>
      </c>
    </row>
    <row r="55" spans="1:19" x14ac:dyDescent="0.3">
      <c r="A55" s="2">
        <v>46210</v>
      </c>
      <c r="B55" s="3">
        <v>0.60416666666666663</v>
      </c>
      <c r="C55">
        <v>229</v>
      </c>
      <c r="D55">
        <v>228</v>
      </c>
      <c r="E55">
        <v>229</v>
      </c>
      <c r="F55" s="1">
        <v>9.9499999999999993</v>
      </c>
      <c r="G55" s="1">
        <v>9.9833333333333325</v>
      </c>
      <c r="H55" s="1">
        <v>9.4</v>
      </c>
      <c r="I55" s="1">
        <v>0</v>
      </c>
      <c r="J55" s="1">
        <v>-0.42370000000000002</v>
      </c>
      <c r="K55" s="1">
        <v>0</v>
      </c>
      <c r="L55" s="1">
        <v>1483.3333333333301</v>
      </c>
      <c r="M55" s="1">
        <v>-750</v>
      </c>
      <c r="N55" s="1">
        <v>-583.33333333333337</v>
      </c>
      <c r="O55" s="1">
        <f>(Table3[[#This Row],[P1_AVG (W)]]+Table3[[#This Row],[P2_AVG (W)]]+Table3[[#This Row],[P3_AVG (W)]])</f>
        <v>149.9999999999967</v>
      </c>
      <c r="P55" s="1">
        <f>ABS(Table3[[#This Row],[P1_AVG (W)]])</f>
        <v>1483.3333333333301</v>
      </c>
      <c r="Q55" s="1">
        <f>ABS(Table3[[#This Row],[P2_AVG (W)]])</f>
        <v>750</v>
      </c>
      <c r="R55" s="1">
        <f>ABS(Table3[[#This Row],[P3_AVG (W)]])</f>
        <v>583.33333333333337</v>
      </c>
      <c r="S55" s="1">
        <f>SUM(Table3[[#This Row],[P1_AVG (W)2]:[P3_AVG (W)2]])</f>
        <v>2816.6666666666638</v>
      </c>
    </row>
    <row r="56" spans="1:19" x14ac:dyDescent="0.3">
      <c r="A56" s="2">
        <v>46210</v>
      </c>
      <c r="B56" s="3">
        <v>0.61458333333333337</v>
      </c>
      <c r="C56">
        <v>228</v>
      </c>
      <c r="D56">
        <v>227</v>
      </c>
      <c r="E56">
        <v>228</v>
      </c>
      <c r="F56" s="1">
        <v>11.666666666666666</v>
      </c>
      <c r="G56" s="1">
        <v>11.316666666666666</v>
      </c>
      <c r="H56" s="1">
        <v>9.8833333333333329</v>
      </c>
      <c r="I56" s="1">
        <v>0</v>
      </c>
      <c r="J56" s="1">
        <v>-0.48780000000000001</v>
      </c>
      <c r="K56" s="1">
        <v>0</v>
      </c>
      <c r="L56" s="1">
        <v>1800</v>
      </c>
      <c r="M56" s="1">
        <v>-733.33333333333337</v>
      </c>
      <c r="N56" s="1">
        <v>-250</v>
      </c>
      <c r="O56" s="1">
        <f>(Table3[[#This Row],[P1_AVG (W)]]+Table3[[#This Row],[P2_AVG (W)]]+Table3[[#This Row],[P3_AVG (W)]])</f>
        <v>816.66666666666652</v>
      </c>
      <c r="P56" s="1">
        <f>ABS(Table3[[#This Row],[P1_AVG (W)]])</f>
        <v>1800</v>
      </c>
      <c r="Q56" s="1">
        <f>ABS(Table3[[#This Row],[P2_AVG (W)]])</f>
        <v>733.33333333333337</v>
      </c>
      <c r="R56" s="1">
        <f>ABS(Table3[[#This Row],[P3_AVG (W)]])</f>
        <v>250</v>
      </c>
      <c r="S56" s="1">
        <f>SUM(Table3[[#This Row],[P1_AVG (W)2]:[P3_AVG (W)2]])</f>
        <v>2783.3333333333335</v>
      </c>
    </row>
    <row r="57" spans="1:19" x14ac:dyDescent="0.3">
      <c r="A57" s="2">
        <v>46210</v>
      </c>
      <c r="B57" s="3">
        <v>0.625</v>
      </c>
      <c r="C57">
        <v>228</v>
      </c>
      <c r="D57">
        <v>226</v>
      </c>
      <c r="E57">
        <v>228</v>
      </c>
      <c r="F57" s="1">
        <v>9.2333333333333325</v>
      </c>
      <c r="G57" s="1">
        <v>9.4333333333333336</v>
      </c>
      <c r="H57" s="1">
        <v>7.2333333333333334</v>
      </c>
      <c r="I57" s="1">
        <v>0</v>
      </c>
      <c r="J57" s="1">
        <v>-0.53290000000000004</v>
      </c>
      <c r="K57" s="1">
        <v>0</v>
      </c>
      <c r="L57" s="1">
        <v>1516.6666666666699</v>
      </c>
      <c r="M57" s="1">
        <v>-733.33333333333337</v>
      </c>
      <c r="N57" s="1">
        <v>-250</v>
      </c>
      <c r="O57" s="1">
        <f>(Table3[[#This Row],[P1_AVG (W)]]+Table3[[#This Row],[P2_AVG (W)]]+Table3[[#This Row],[P3_AVG (W)]])</f>
        <v>533.33333333333655</v>
      </c>
      <c r="P57" s="1">
        <f>ABS(Table3[[#This Row],[P1_AVG (W)]])</f>
        <v>1516.6666666666699</v>
      </c>
      <c r="Q57" s="1">
        <f>ABS(Table3[[#This Row],[P2_AVG (W)]])</f>
        <v>733.33333333333337</v>
      </c>
      <c r="R57" s="1">
        <f>ABS(Table3[[#This Row],[P3_AVG (W)]])</f>
        <v>250</v>
      </c>
      <c r="S57" s="1">
        <f>SUM(Table3[[#This Row],[P1_AVG (W)2]:[P3_AVG (W)2]])</f>
        <v>2500.0000000000032</v>
      </c>
    </row>
    <row r="58" spans="1:19" x14ac:dyDescent="0.3">
      <c r="A58" s="2">
        <v>46210</v>
      </c>
      <c r="B58" s="3">
        <v>0.63541666666666663</v>
      </c>
      <c r="C58">
        <v>228</v>
      </c>
      <c r="D58">
        <v>226</v>
      </c>
      <c r="E58">
        <v>228</v>
      </c>
      <c r="F58" s="1">
        <v>8.9666666666666668</v>
      </c>
      <c r="G58" s="1">
        <v>8.9833333333333325</v>
      </c>
      <c r="H58" s="1">
        <v>5.7833333333333332</v>
      </c>
      <c r="I58" s="1">
        <v>0</v>
      </c>
      <c r="J58" s="1">
        <v>-0.4884</v>
      </c>
      <c r="K58" s="1">
        <v>0</v>
      </c>
      <c r="L58" s="1">
        <v>1616.6666666666699</v>
      </c>
      <c r="M58" s="1">
        <v>-616.66666666666663</v>
      </c>
      <c r="N58" s="1">
        <v>-133.33333333333334</v>
      </c>
      <c r="O58" s="1">
        <f>(Table3[[#This Row],[P1_AVG (W)]]+Table3[[#This Row],[P2_AVG (W)]]+Table3[[#This Row],[P3_AVG (W)]])</f>
        <v>866.66666666666993</v>
      </c>
      <c r="P58" s="1">
        <f>ABS(Table3[[#This Row],[P1_AVG (W)]])</f>
        <v>1616.6666666666699</v>
      </c>
      <c r="Q58" s="1">
        <f>ABS(Table3[[#This Row],[P2_AVG (W)]])</f>
        <v>616.66666666666663</v>
      </c>
      <c r="R58" s="1">
        <f>ABS(Table3[[#This Row],[P3_AVG (W)]])</f>
        <v>133.33333333333334</v>
      </c>
      <c r="S58" s="1">
        <f>SUM(Table3[[#This Row],[P1_AVG (W)2]:[P3_AVG (W)2]])</f>
        <v>2366.6666666666702</v>
      </c>
    </row>
    <row r="59" spans="1:19" x14ac:dyDescent="0.3">
      <c r="A59" s="2">
        <v>46210</v>
      </c>
      <c r="B59" s="3">
        <v>0.64583333333333337</v>
      </c>
      <c r="C59">
        <v>228</v>
      </c>
      <c r="D59">
        <v>226</v>
      </c>
      <c r="E59">
        <v>227</v>
      </c>
      <c r="F59" s="1">
        <v>12.216666666666667</v>
      </c>
      <c r="G59" s="1">
        <v>11.316666666666666</v>
      </c>
      <c r="H59" s="1">
        <v>4.95</v>
      </c>
      <c r="I59" s="1">
        <v>0.99050000000000005</v>
      </c>
      <c r="J59" s="1">
        <v>-0.20949999999999999</v>
      </c>
      <c r="K59" s="1">
        <v>0</v>
      </c>
      <c r="L59" s="1">
        <v>2550</v>
      </c>
      <c r="M59" s="1">
        <v>-133.33333333333334</v>
      </c>
      <c r="N59" s="1">
        <v>333.33333333333331</v>
      </c>
      <c r="O59" s="1">
        <f>(Table3[[#This Row],[P1_AVG (W)]]+Table3[[#This Row],[P2_AVG (W)]]+Table3[[#This Row],[P3_AVG (W)]])</f>
        <v>2750</v>
      </c>
      <c r="P59" s="1">
        <f>ABS(Table3[[#This Row],[P1_AVG (W)]])</f>
        <v>2550</v>
      </c>
      <c r="Q59" s="1">
        <f>ABS(Table3[[#This Row],[P2_AVG (W)]])</f>
        <v>133.33333333333334</v>
      </c>
      <c r="R59" s="1">
        <f>ABS(Table3[[#This Row],[P3_AVG (W)]])</f>
        <v>333.33333333333331</v>
      </c>
      <c r="S59" s="1">
        <f>SUM(Table3[[#This Row],[P1_AVG (W)2]:[P3_AVG (W)2]])</f>
        <v>3016.666666666667</v>
      </c>
    </row>
    <row r="60" spans="1:19" x14ac:dyDescent="0.3">
      <c r="A60" s="2">
        <v>46210</v>
      </c>
      <c r="B60" s="3">
        <v>0.65625</v>
      </c>
      <c r="C60">
        <v>229</v>
      </c>
      <c r="D60">
        <v>227</v>
      </c>
      <c r="E60">
        <v>229</v>
      </c>
      <c r="F60" s="1">
        <v>12.05</v>
      </c>
      <c r="G60" s="1">
        <v>10.466666666666667</v>
      </c>
      <c r="H60" s="1">
        <v>2.75</v>
      </c>
      <c r="I60" s="1">
        <v>0.99509999999999998</v>
      </c>
      <c r="J60" s="1">
        <v>-8.9700000000000002E-2</v>
      </c>
      <c r="K60" s="1">
        <v>0</v>
      </c>
      <c r="L60" s="1">
        <v>2650</v>
      </c>
      <c r="M60" s="1">
        <v>-133.33333333333334</v>
      </c>
      <c r="N60" s="1">
        <v>216.66666666666666</v>
      </c>
      <c r="O60" s="1">
        <f>(Table3[[#This Row],[P1_AVG (W)]]+Table3[[#This Row],[P2_AVG (W)]]+Table3[[#This Row],[P3_AVG (W)]])</f>
        <v>2733.333333333333</v>
      </c>
      <c r="P60" s="1">
        <f>ABS(Table3[[#This Row],[P1_AVG (W)]])</f>
        <v>2650</v>
      </c>
      <c r="Q60" s="1">
        <f>ABS(Table3[[#This Row],[P2_AVG (W)]])</f>
        <v>133.33333333333334</v>
      </c>
      <c r="R60" s="1">
        <f>ABS(Table3[[#This Row],[P3_AVG (W)]])</f>
        <v>216.66666666666666</v>
      </c>
      <c r="S60" s="1">
        <f>SUM(Table3[[#This Row],[P1_AVG (W)2]:[P3_AVG (W)2]])</f>
        <v>3000</v>
      </c>
    </row>
    <row r="61" spans="1:19" x14ac:dyDescent="0.3">
      <c r="A61" s="2">
        <v>46210</v>
      </c>
      <c r="B61" s="3">
        <v>0.66666666666666663</v>
      </c>
      <c r="C61">
        <v>229</v>
      </c>
      <c r="D61">
        <v>227</v>
      </c>
      <c r="E61">
        <v>228</v>
      </c>
      <c r="F61" s="1">
        <v>12.716666666666667</v>
      </c>
      <c r="G61" s="1">
        <v>12.183333333333334</v>
      </c>
      <c r="H61" s="1">
        <v>4.0333333333333332</v>
      </c>
      <c r="I61" s="1">
        <v>0.99299999999999999</v>
      </c>
      <c r="J61" s="1">
        <v>-4.0000000000000001E-3</v>
      </c>
      <c r="K61" s="1">
        <v>0</v>
      </c>
      <c r="L61" s="1">
        <v>2866.6666666666702</v>
      </c>
      <c r="M61" s="1">
        <v>16.666666666666668</v>
      </c>
      <c r="N61" s="1">
        <v>533.33333333333337</v>
      </c>
      <c r="O61" s="1">
        <f>(Table3[[#This Row],[P1_AVG (W)]]+Table3[[#This Row],[P2_AVG (W)]]+Table3[[#This Row],[P3_AVG (W)]])</f>
        <v>3416.6666666666702</v>
      </c>
      <c r="P61" s="1">
        <f>ABS(Table3[[#This Row],[P1_AVG (W)]])</f>
        <v>2866.6666666666702</v>
      </c>
      <c r="Q61" s="1">
        <f>ABS(Table3[[#This Row],[P2_AVG (W)]])</f>
        <v>16.666666666666668</v>
      </c>
      <c r="R61" s="1">
        <f>ABS(Table3[[#This Row],[P3_AVG (W)]])</f>
        <v>533.33333333333337</v>
      </c>
      <c r="S61" s="1">
        <f>SUM(Table3[[#This Row],[P1_AVG (W)2]:[P3_AVG (W)2]])</f>
        <v>3416.6666666666702</v>
      </c>
    </row>
    <row r="62" spans="1:19" x14ac:dyDescent="0.3">
      <c r="A62" s="2">
        <v>46210</v>
      </c>
      <c r="B62" s="3">
        <v>0.67708333333333337</v>
      </c>
      <c r="C62">
        <v>228</v>
      </c>
      <c r="D62">
        <v>226</v>
      </c>
      <c r="E62">
        <v>228</v>
      </c>
      <c r="F62" s="1">
        <v>13.366666666666667</v>
      </c>
      <c r="G62" s="1">
        <v>14.016666666666667</v>
      </c>
      <c r="H62" s="1">
        <v>6.3833333333333337</v>
      </c>
      <c r="I62" s="1">
        <v>-0.99109999999999998</v>
      </c>
      <c r="J62" s="1">
        <v>-6.0900000000000003E-2</v>
      </c>
      <c r="K62" s="1">
        <v>0.58030000000000004</v>
      </c>
      <c r="L62" s="1">
        <v>2933.3333333333298</v>
      </c>
      <c r="M62" s="1">
        <v>216.66666666666666</v>
      </c>
      <c r="N62" s="1">
        <v>816.66666666666663</v>
      </c>
      <c r="O62" s="1">
        <f>(Table3[[#This Row],[P1_AVG (W)]]+Table3[[#This Row],[P2_AVG (W)]]+Table3[[#This Row],[P3_AVG (W)]])</f>
        <v>3966.6666666666629</v>
      </c>
      <c r="P62" s="1">
        <f>ABS(Table3[[#This Row],[P1_AVG (W)]])</f>
        <v>2933.3333333333298</v>
      </c>
      <c r="Q62" s="1">
        <f>ABS(Table3[[#This Row],[P2_AVG (W)]])</f>
        <v>216.66666666666666</v>
      </c>
      <c r="R62" s="1">
        <f>ABS(Table3[[#This Row],[P3_AVG (W)]])</f>
        <v>816.66666666666663</v>
      </c>
      <c r="S62" s="1">
        <f>SUM(Table3[[#This Row],[P1_AVG (W)2]:[P3_AVG (W)2]])</f>
        <v>3966.6666666666629</v>
      </c>
    </row>
    <row r="63" spans="1:19" x14ac:dyDescent="0.3">
      <c r="A63" s="2">
        <v>46210</v>
      </c>
      <c r="B63" s="3">
        <v>0.6875</v>
      </c>
      <c r="C63">
        <v>227</v>
      </c>
      <c r="D63">
        <v>226</v>
      </c>
      <c r="E63">
        <v>227</v>
      </c>
      <c r="F63" s="1">
        <v>17.716666666666665</v>
      </c>
      <c r="G63" s="1">
        <v>16.033333333333335</v>
      </c>
      <c r="H63" s="1">
        <v>5.2</v>
      </c>
      <c r="I63" s="1">
        <v>-0.98419999999999996</v>
      </c>
      <c r="J63" s="1">
        <v>-0.158</v>
      </c>
      <c r="K63" s="1">
        <v>0.61419999999999997</v>
      </c>
      <c r="L63" s="1">
        <v>3950</v>
      </c>
      <c r="M63" s="1">
        <v>566.66666666666663</v>
      </c>
      <c r="N63" s="1">
        <v>716.66666666666663</v>
      </c>
      <c r="O63" s="1">
        <f>(Table3[[#This Row],[P1_AVG (W)]]+Table3[[#This Row],[P2_AVG (W)]]+Table3[[#This Row],[P3_AVG (W)]])</f>
        <v>5233.3333333333339</v>
      </c>
      <c r="P63" s="1">
        <f>ABS(Table3[[#This Row],[P1_AVG (W)]])</f>
        <v>3950</v>
      </c>
      <c r="Q63" s="1">
        <f>ABS(Table3[[#This Row],[P2_AVG (W)]])</f>
        <v>566.66666666666663</v>
      </c>
      <c r="R63" s="1">
        <f>ABS(Table3[[#This Row],[P3_AVG (W)]])</f>
        <v>716.66666666666663</v>
      </c>
      <c r="S63" s="1">
        <f>SUM(Table3[[#This Row],[P1_AVG (W)2]:[P3_AVG (W)2]])</f>
        <v>5233.3333333333339</v>
      </c>
    </row>
    <row r="64" spans="1:19" x14ac:dyDescent="0.3">
      <c r="A64" s="2">
        <v>46210</v>
      </c>
      <c r="B64" s="3">
        <v>0.69791666666666663</v>
      </c>
      <c r="C64">
        <v>228</v>
      </c>
      <c r="D64">
        <v>226</v>
      </c>
      <c r="E64">
        <v>227</v>
      </c>
      <c r="F64" s="1">
        <v>13.85</v>
      </c>
      <c r="G64" s="1">
        <v>17.100000000000001</v>
      </c>
      <c r="H64" s="1">
        <v>6.65</v>
      </c>
      <c r="I64" s="1">
        <v>-0.95569999999999999</v>
      </c>
      <c r="J64" s="1">
        <v>-0.18279999999999999</v>
      </c>
      <c r="K64" s="1">
        <v>0.56040000000000001</v>
      </c>
      <c r="L64" s="1">
        <v>2800</v>
      </c>
      <c r="M64" s="1">
        <v>716.66666666666663</v>
      </c>
      <c r="N64" s="1">
        <v>833.33333333333337</v>
      </c>
      <c r="O64" s="1">
        <f>(Table3[[#This Row],[P1_AVG (W)]]+Table3[[#This Row],[P2_AVG (W)]]+Table3[[#This Row],[P3_AVG (W)]])</f>
        <v>4350</v>
      </c>
      <c r="P64" s="1">
        <f>ABS(Table3[[#This Row],[P1_AVG (W)]])</f>
        <v>2800</v>
      </c>
      <c r="Q64" s="1">
        <f>ABS(Table3[[#This Row],[P2_AVG (W)]])</f>
        <v>716.66666666666663</v>
      </c>
      <c r="R64" s="1">
        <f>ABS(Table3[[#This Row],[P3_AVG (W)]])</f>
        <v>833.33333333333337</v>
      </c>
      <c r="S64" s="1">
        <f>SUM(Table3[[#This Row],[P1_AVG (W)2]:[P3_AVG (W)2]])</f>
        <v>4350</v>
      </c>
    </row>
    <row r="65" spans="1:19" x14ac:dyDescent="0.3">
      <c r="A65" s="2">
        <v>46210</v>
      </c>
      <c r="B65" s="3">
        <v>0.70833333333333337</v>
      </c>
      <c r="C65">
        <v>227</v>
      </c>
      <c r="D65">
        <v>226</v>
      </c>
      <c r="E65">
        <v>227</v>
      </c>
      <c r="F65" s="1">
        <v>13.083333333333334</v>
      </c>
      <c r="G65" s="1">
        <v>17.783333333333335</v>
      </c>
      <c r="H65" s="1">
        <v>7.7333333333333334</v>
      </c>
      <c r="I65" s="1">
        <v>-0.93500000000000005</v>
      </c>
      <c r="J65" s="1">
        <v>-0.1963</v>
      </c>
      <c r="K65" s="1">
        <v>0.54579999999999995</v>
      </c>
      <c r="L65" s="1">
        <v>2733.3333333333298</v>
      </c>
      <c r="M65" s="1">
        <v>783.33333333333337</v>
      </c>
      <c r="N65" s="1">
        <v>950</v>
      </c>
      <c r="O65" s="1">
        <f>(Table3[[#This Row],[P1_AVG (W)]]+Table3[[#This Row],[P2_AVG (W)]]+Table3[[#This Row],[P3_AVG (W)]])</f>
        <v>4466.6666666666633</v>
      </c>
      <c r="P65" s="1">
        <f>ABS(Table3[[#This Row],[P1_AVG (W)]])</f>
        <v>2733.3333333333298</v>
      </c>
      <c r="Q65" s="1">
        <f>ABS(Table3[[#This Row],[P2_AVG (W)]])</f>
        <v>783.33333333333337</v>
      </c>
      <c r="R65" s="1">
        <f>ABS(Table3[[#This Row],[P3_AVG (W)]])</f>
        <v>950</v>
      </c>
      <c r="S65" s="1">
        <f>SUM(Table3[[#This Row],[P1_AVG (W)2]:[P3_AVG (W)2]])</f>
        <v>4466.6666666666633</v>
      </c>
    </row>
    <row r="66" spans="1:19" x14ac:dyDescent="0.3">
      <c r="A66" s="2">
        <v>46210</v>
      </c>
      <c r="B66" s="3">
        <v>0.71875</v>
      </c>
      <c r="C66">
        <v>232</v>
      </c>
      <c r="D66">
        <v>230</v>
      </c>
      <c r="E66">
        <v>232</v>
      </c>
      <c r="F66" s="1">
        <v>11.516666666666667</v>
      </c>
      <c r="G66" s="1">
        <v>18.316666666666666</v>
      </c>
      <c r="H66" s="1">
        <v>8.4333333333333336</v>
      </c>
      <c r="I66" s="1">
        <v>-0.94430000000000003</v>
      </c>
      <c r="J66" s="1">
        <v>-0.2072</v>
      </c>
      <c r="K66" s="1">
        <v>0.55030000000000001</v>
      </c>
      <c r="L66" s="1">
        <v>2516.6666666666702</v>
      </c>
      <c r="M66" s="1">
        <v>883.33333333333337</v>
      </c>
      <c r="N66" s="1">
        <v>1066.6666666666667</v>
      </c>
      <c r="O66" s="1">
        <f>(Table3[[#This Row],[P1_AVG (W)]]+Table3[[#This Row],[P2_AVG (W)]]+Table3[[#This Row],[P3_AVG (W)]])</f>
        <v>4466.6666666666706</v>
      </c>
      <c r="P66" s="1">
        <f>ABS(Table3[[#This Row],[P1_AVG (W)]])</f>
        <v>2516.6666666666702</v>
      </c>
      <c r="Q66" s="1">
        <f>ABS(Table3[[#This Row],[P2_AVG (W)]])</f>
        <v>883.33333333333337</v>
      </c>
      <c r="R66" s="1">
        <f>ABS(Table3[[#This Row],[P3_AVG (W)]])</f>
        <v>1066.6666666666667</v>
      </c>
      <c r="S66" s="1">
        <f>SUM(Table3[[#This Row],[P1_AVG (W)2]:[P3_AVG (W)2]])</f>
        <v>4466.6666666666706</v>
      </c>
    </row>
    <row r="67" spans="1:19" x14ac:dyDescent="0.3">
      <c r="A67" s="2">
        <v>46210</v>
      </c>
      <c r="B67" s="3">
        <v>0.72916666666666663</v>
      </c>
      <c r="C67">
        <v>232</v>
      </c>
      <c r="D67">
        <v>230</v>
      </c>
      <c r="E67">
        <v>231</v>
      </c>
      <c r="F67" s="1">
        <v>12.3</v>
      </c>
      <c r="G67" s="1">
        <v>19.45</v>
      </c>
      <c r="H67" s="1">
        <v>9.6833333333333336</v>
      </c>
      <c r="I67" s="1">
        <v>-0.95709999999999995</v>
      </c>
      <c r="J67" s="1">
        <v>-0.22509999999999999</v>
      </c>
      <c r="K67" s="1">
        <v>0.54530000000000001</v>
      </c>
      <c r="L67" s="1">
        <v>2700</v>
      </c>
      <c r="M67" s="1">
        <v>1000</v>
      </c>
      <c r="N67" s="1">
        <v>1216.6666666666667</v>
      </c>
      <c r="O67" s="1">
        <f>(Table3[[#This Row],[P1_AVG (W)]]+Table3[[#This Row],[P2_AVG (W)]]+Table3[[#This Row],[P3_AVG (W)]])</f>
        <v>4916.666666666667</v>
      </c>
      <c r="P67" s="1">
        <f>ABS(Table3[[#This Row],[P1_AVG (W)]])</f>
        <v>2700</v>
      </c>
      <c r="Q67" s="1">
        <f>ABS(Table3[[#This Row],[P2_AVG (W)]])</f>
        <v>1000</v>
      </c>
      <c r="R67" s="1">
        <f>ABS(Table3[[#This Row],[P3_AVG (W)]])</f>
        <v>1216.6666666666667</v>
      </c>
      <c r="S67" s="1">
        <f>SUM(Table3[[#This Row],[P1_AVG (W)2]:[P3_AVG (W)2]])</f>
        <v>4916.666666666667</v>
      </c>
    </row>
    <row r="68" spans="1:19" x14ac:dyDescent="0.3">
      <c r="A68" s="2">
        <v>46210</v>
      </c>
      <c r="B68" s="3">
        <v>0.73958333333333337</v>
      </c>
      <c r="C68">
        <v>231</v>
      </c>
      <c r="D68">
        <v>229</v>
      </c>
      <c r="E68">
        <v>230</v>
      </c>
      <c r="F68" s="1">
        <v>10.766666666666667</v>
      </c>
      <c r="G68" s="1">
        <v>12.05</v>
      </c>
      <c r="H68" s="1">
        <v>9.4833333333333325</v>
      </c>
      <c r="I68" s="1">
        <v>-0.96050000000000002</v>
      </c>
      <c r="J68" s="1">
        <v>-0.3513</v>
      </c>
      <c r="K68" s="1">
        <v>0.56769999999999998</v>
      </c>
      <c r="L68" s="1">
        <v>2383.3333333333298</v>
      </c>
      <c r="M68" s="1">
        <v>750</v>
      </c>
      <c r="N68" s="1">
        <v>1233.3333333333333</v>
      </c>
      <c r="O68" s="1">
        <f>(Table3[[#This Row],[P1_AVG (W)]]+Table3[[#This Row],[P2_AVG (W)]]+Table3[[#This Row],[P3_AVG (W)]])</f>
        <v>4366.6666666666633</v>
      </c>
      <c r="P68" s="1">
        <f>ABS(Table3[[#This Row],[P1_AVG (W)]])</f>
        <v>2383.3333333333298</v>
      </c>
      <c r="Q68" s="1">
        <f>ABS(Table3[[#This Row],[P2_AVG (W)]])</f>
        <v>750</v>
      </c>
      <c r="R68" s="1">
        <f>ABS(Table3[[#This Row],[P3_AVG (W)]])</f>
        <v>1233.3333333333333</v>
      </c>
      <c r="S68" s="1">
        <f>SUM(Table3[[#This Row],[P1_AVG (W)2]:[P3_AVG (W)2]])</f>
        <v>4366.6666666666633</v>
      </c>
    </row>
    <row r="69" spans="1:19" x14ac:dyDescent="0.3">
      <c r="A69" s="2">
        <v>46210</v>
      </c>
      <c r="B69" s="3">
        <v>0.75</v>
      </c>
      <c r="C69">
        <v>230</v>
      </c>
      <c r="D69">
        <v>228</v>
      </c>
      <c r="E69">
        <v>229</v>
      </c>
      <c r="F69" s="1">
        <v>11.516666666666667</v>
      </c>
      <c r="G69" s="1">
        <v>7.4666666666666668</v>
      </c>
      <c r="H69" s="1">
        <v>9.9333333333333336</v>
      </c>
      <c r="I69" s="1">
        <v>-0.96130000000000004</v>
      </c>
      <c r="J69" s="1">
        <v>-0.41420000000000001</v>
      </c>
      <c r="K69" s="1">
        <v>0.5373</v>
      </c>
      <c r="L69" s="1">
        <v>2516.6666666666702</v>
      </c>
      <c r="M69" s="1">
        <v>700</v>
      </c>
      <c r="N69" s="1">
        <v>1216.6666666666667</v>
      </c>
      <c r="O69" s="1">
        <f>(Table3[[#This Row],[P1_AVG (W)]]+Table3[[#This Row],[P2_AVG (W)]]+Table3[[#This Row],[P3_AVG (W)]])</f>
        <v>4433.3333333333367</v>
      </c>
      <c r="P69" s="1">
        <f>ABS(Table3[[#This Row],[P1_AVG (W)]])</f>
        <v>2516.6666666666702</v>
      </c>
      <c r="Q69" s="1">
        <f>ABS(Table3[[#This Row],[P2_AVG (W)]])</f>
        <v>700</v>
      </c>
      <c r="R69" s="1">
        <f>ABS(Table3[[#This Row],[P3_AVG (W)]])</f>
        <v>1216.6666666666667</v>
      </c>
      <c r="S69" s="1">
        <f>SUM(Table3[[#This Row],[P1_AVG (W)2]:[P3_AVG (W)2]])</f>
        <v>4433.3333333333367</v>
      </c>
    </row>
    <row r="70" spans="1:19" x14ac:dyDescent="0.3">
      <c r="A70" s="2">
        <v>46210</v>
      </c>
      <c r="B70" s="3">
        <v>0.76041666666666663</v>
      </c>
      <c r="C70">
        <v>230</v>
      </c>
      <c r="D70">
        <v>228</v>
      </c>
      <c r="E70">
        <v>230</v>
      </c>
      <c r="F70" s="1">
        <v>12.016666666666667</v>
      </c>
      <c r="G70" s="1">
        <v>8.6999999999999993</v>
      </c>
      <c r="H70" s="1">
        <v>11.383333333333333</v>
      </c>
      <c r="I70" s="1">
        <v>-0.9657</v>
      </c>
      <c r="J70" s="1">
        <v>-0.42870000000000003</v>
      </c>
      <c r="K70" s="1">
        <v>0.53590000000000004</v>
      </c>
      <c r="L70" s="1">
        <v>2666.6666666666702</v>
      </c>
      <c r="M70" s="1">
        <v>850</v>
      </c>
      <c r="N70" s="1">
        <v>1400</v>
      </c>
      <c r="O70" s="1">
        <f>(Table3[[#This Row],[P1_AVG (W)]]+Table3[[#This Row],[P2_AVG (W)]]+Table3[[#This Row],[P3_AVG (W)]])</f>
        <v>4916.6666666666697</v>
      </c>
      <c r="P70" s="1">
        <f>ABS(Table3[[#This Row],[P1_AVG (W)]])</f>
        <v>2666.6666666666702</v>
      </c>
      <c r="Q70" s="1">
        <f>ABS(Table3[[#This Row],[P2_AVG (W)]])</f>
        <v>850</v>
      </c>
      <c r="R70" s="1">
        <f>ABS(Table3[[#This Row],[P3_AVG (W)]])</f>
        <v>1400</v>
      </c>
      <c r="S70" s="1">
        <f>SUM(Table3[[#This Row],[P1_AVG (W)2]:[P3_AVG (W)2]])</f>
        <v>4916.6666666666697</v>
      </c>
    </row>
    <row r="71" spans="1:19" x14ac:dyDescent="0.3">
      <c r="A71" s="2">
        <v>46210</v>
      </c>
      <c r="B71" s="3">
        <v>0.77083333333333337</v>
      </c>
      <c r="C71">
        <v>228</v>
      </c>
      <c r="D71">
        <v>226</v>
      </c>
      <c r="E71">
        <v>227</v>
      </c>
      <c r="F71" s="1">
        <v>13.6</v>
      </c>
      <c r="G71" s="1">
        <v>10</v>
      </c>
      <c r="H71" s="1">
        <v>12.783333333333333</v>
      </c>
      <c r="I71" s="1">
        <v>-0.97629999999999995</v>
      </c>
      <c r="J71" s="1">
        <v>-0.42530000000000001</v>
      </c>
      <c r="K71" s="1">
        <v>0.5504</v>
      </c>
      <c r="L71" s="1">
        <v>3000</v>
      </c>
      <c r="M71" s="1">
        <v>966.66666666666663</v>
      </c>
      <c r="N71" s="1">
        <v>1600</v>
      </c>
      <c r="O71" s="1">
        <f>(Table3[[#This Row],[P1_AVG (W)]]+Table3[[#This Row],[P2_AVG (W)]]+Table3[[#This Row],[P3_AVG (W)]])</f>
        <v>5566.6666666666661</v>
      </c>
      <c r="P71" s="1">
        <f>ABS(Table3[[#This Row],[P1_AVG (W)]])</f>
        <v>3000</v>
      </c>
      <c r="Q71" s="1">
        <f>ABS(Table3[[#This Row],[P2_AVG (W)]])</f>
        <v>966.66666666666663</v>
      </c>
      <c r="R71" s="1">
        <f>ABS(Table3[[#This Row],[P3_AVG (W)]])</f>
        <v>1600</v>
      </c>
      <c r="S71" s="1">
        <f>SUM(Table3[[#This Row],[P1_AVG (W)2]:[P3_AVG (W)2]])</f>
        <v>5566.6666666666661</v>
      </c>
    </row>
    <row r="72" spans="1:19" x14ac:dyDescent="0.3">
      <c r="A72" s="2">
        <v>46210</v>
      </c>
      <c r="B72" s="3">
        <v>0.78125</v>
      </c>
      <c r="C72">
        <v>226</v>
      </c>
      <c r="D72">
        <v>224</v>
      </c>
      <c r="E72">
        <v>225</v>
      </c>
      <c r="F72" s="1">
        <v>13.016666666666667</v>
      </c>
      <c r="G72" s="1">
        <v>10.050000000000001</v>
      </c>
      <c r="H72" s="1">
        <v>12.9</v>
      </c>
      <c r="I72" s="1">
        <v>-0.9819</v>
      </c>
      <c r="J72" s="1">
        <v>-0.39190000000000003</v>
      </c>
      <c r="K72" s="1">
        <v>0.57240000000000002</v>
      </c>
      <c r="L72" s="1">
        <v>2883.3333333333298</v>
      </c>
      <c r="M72" s="1">
        <v>883.33333333333337</v>
      </c>
      <c r="N72" s="1">
        <v>1666.6666666666667</v>
      </c>
      <c r="O72" s="1">
        <f>(Table3[[#This Row],[P1_AVG (W)]]+Table3[[#This Row],[P2_AVG (W)]]+Table3[[#This Row],[P3_AVG (W)]])</f>
        <v>5433.3333333333303</v>
      </c>
      <c r="P72" s="1">
        <f>ABS(Table3[[#This Row],[P1_AVG (W)]])</f>
        <v>2883.3333333333298</v>
      </c>
      <c r="Q72" s="1">
        <f>ABS(Table3[[#This Row],[P2_AVG (W)]])</f>
        <v>883.33333333333337</v>
      </c>
      <c r="R72" s="1">
        <f>ABS(Table3[[#This Row],[P3_AVG (W)]])</f>
        <v>1666.6666666666667</v>
      </c>
      <c r="S72" s="1">
        <f>SUM(Table3[[#This Row],[P1_AVG (W)2]:[P3_AVG (W)2]])</f>
        <v>5433.3333333333303</v>
      </c>
    </row>
    <row r="73" spans="1:19" x14ac:dyDescent="0.3">
      <c r="A73" s="2">
        <v>46210</v>
      </c>
      <c r="B73" s="3">
        <v>0.79166666666666663</v>
      </c>
      <c r="C73">
        <v>226</v>
      </c>
      <c r="D73">
        <v>224</v>
      </c>
      <c r="E73">
        <v>225</v>
      </c>
      <c r="F73" s="1">
        <v>12.983333333333333</v>
      </c>
      <c r="G73" s="1">
        <v>10.016666666666667</v>
      </c>
      <c r="H73" s="1">
        <v>12.733333333333333</v>
      </c>
      <c r="I73" s="1">
        <v>-0.98199999999999998</v>
      </c>
      <c r="J73" s="1">
        <v>-0.40360000000000001</v>
      </c>
      <c r="K73" s="1">
        <v>0.57289999999999996</v>
      </c>
      <c r="L73" s="1">
        <v>2883.3333333333298</v>
      </c>
      <c r="M73" s="1">
        <v>900</v>
      </c>
      <c r="N73" s="1">
        <v>1650</v>
      </c>
      <c r="O73" s="1">
        <f>(Table3[[#This Row],[P1_AVG (W)]]+Table3[[#This Row],[P2_AVG (W)]]+Table3[[#This Row],[P3_AVG (W)]])</f>
        <v>5433.3333333333303</v>
      </c>
      <c r="P73" s="1">
        <f>ABS(Table3[[#This Row],[P1_AVG (W)]])</f>
        <v>2883.3333333333298</v>
      </c>
      <c r="Q73" s="1">
        <f>ABS(Table3[[#This Row],[P2_AVG (W)]])</f>
        <v>900</v>
      </c>
      <c r="R73" s="1">
        <f>ABS(Table3[[#This Row],[P3_AVG (W)]])</f>
        <v>1650</v>
      </c>
      <c r="S73" s="1">
        <f>SUM(Table3[[#This Row],[P1_AVG (W)2]:[P3_AVG (W)2]])</f>
        <v>5433.3333333333303</v>
      </c>
    </row>
    <row r="74" spans="1:19" x14ac:dyDescent="0.3">
      <c r="A74" s="2">
        <v>46210</v>
      </c>
      <c r="B74" s="3">
        <v>0.80208333333333337</v>
      </c>
      <c r="C74">
        <v>227</v>
      </c>
      <c r="D74">
        <v>225</v>
      </c>
      <c r="E74">
        <v>226</v>
      </c>
      <c r="F74" s="1">
        <v>12.966666666666667</v>
      </c>
      <c r="G74" s="1">
        <v>10.1</v>
      </c>
      <c r="H74" s="1">
        <v>12.55</v>
      </c>
      <c r="I74" s="1">
        <v>-0.98170000000000002</v>
      </c>
      <c r="J74" s="1">
        <v>-0.40350000000000003</v>
      </c>
      <c r="K74" s="1">
        <v>0.57150000000000001</v>
      </c>
      <c r="L74" s="1">
        <v>2883.3333333333298</v>
      </c>
      <c r="M74" s="1">
        <v>916.66666666666663</v>
      </c>
      <c r="N74" s="1">
        <v>1616.6666666666667</v>
      </c>
      <c r="O74" s="1">
        <f>(Table3[[#This Row],[P1_AVG (W)]]+Table3[[#This Row],[P2_AVG (W)]]+Table3[[#This Row],[P3_AVG (W)]])</f>
        <v>5416.6666666666633</v>
      </c>
      <c r="P74" s="1">
        <f>ABS(Table3[[#This Row],[P1_AVG (W)]])</f>
        <v>2883.3333333333298</v>
      </c>
      <c r="Q74" s="1">
        <f>ABS(Table3[[#This Row],[P2_AVG (W)]])</f>
        <v>916.66666666666663</v>
      </c>
      <c r="R74" s="1">
        <f>ABS(Table3[[#This Row],[P3_AVG (W)]])</f>
        <v>1616.6666666666667</v>
      </c>
      <c r="S74" s="1">
        <f>SUM(Table3[[#This Row],[P1_AVG (W)2]:[P3_AVG (W)2]])</f>
        <v>5416.6666666666633</v>
      </c>
    </row>
    <row r="75" spans="1:19" x14ac:dyDescent="0.3">
      <c r="A75" s="2">
        <v>46210</v>
      </c>
      <c r="B75" s="3">
        <v>0.8125</v>
      </c>
      <c r="C75">
        <v>227</v>
      </c>
      <c r="D75">
        <v>225</v>
      </c>
      <c r="E75">
        <v>226</v>
      </c>
      <c r="F75" s="1">
        <v>12.55</v>
      </c>
      <c r="G75" s="1">
        <v>10.433333333333334</v>
      </c>
      <c r="H75" s="1">
        <v>12.583333333333334</v>
      </c>
      <c r="I75" s="1">
        <v>-0.98029999999999995</v>
      </c>
      <c r="J75" s="1">
        <v>-0.40600000000000003</v>
      </c>
      <c r="K75" s="1">
        <v>0.5665</v>
      </c>
      <c r="L75" s="1">
        <v>2783.3333333333298</v>
      </c>
      <c r="M75" s="1">
        <v>950</v>
      </c>
      <c r="N75" s="1">
        <v>1616.6666666666667</v>
      </c>
      <c r="O75" s="1">
        <f>(Table3[[#This Row],[P1_AVG (W)]]+Table3[[#This Row],[P2_AVG (W)]]+Table3[[#This Row],[P3_AVG (W)]])</f>
        <v>5349.9999999999964</v>
      </c>
      <c r="P75" s="1">
        <f>ABS(Table3[[#This Row],[P1_AVG (W)]])</f>
        <v>2783.3333333333298</v>
      </c>
      <c r="Q75" s="1">
        <f>ABS(Table3[[#This Row],[P2_AVG (W)]])</f>
        <v>950</v>
      </c>
      <c r="R75" s="1">
        <f>ABS(Table3[[#This Row],[P3_AVG (W)]])</f>
        <v>1616.6666666666667</v>
      </c>
      <c r="S75" s="1">
        <f>SUM(Table3[[#This Row],[P1_AVG (W)2]:[P3_AVG (W)2]])</f>
        <v>5349.9999999999964</v>
      </c>
    </row>
    <row r="76" spans="1:19" x14ac:dyDescent="0.3">
      <c r="A76" s="2">
        <v>46210</v>
      </c>
      <c r="B76" s="3">
        <v>0.82291666666666663</v>
      </c>
      <c r="C76">
        <v>229</v>
      </c>
      <c r="D76">
        <v>227</v>
      </c>
      <c r="E76">
        <v>229</v>
      </c>
      <c r="F76" s="1">
        <v>12.85</v>
      </c>
      <c r="G76" s="1">
        <v>10.716666666666667</v>
      </c>
      <c r="H76" s="1">
        <v>13.016666666666667</v>
      </c>
      <c r="I76" s="1">
        <v>-0.98050000000000004</v>
      </c>
      <c r="J76" s="1">
        <v>-0.40770000000000001</v>
      </c>
      <c r="K76" s="1">
        <v>0.56759999999999999</v>
      </c>
      <c r="L76" s="1">
        <v>2883.3333333333298</v>
      </c>
      <c r="M76" s="1">
        <v>1000</v>
      </c>
      <c r="N76" s="1">
        <v>1683.3333333333333</v>
      </c>
      <c r="O76" s="1">
        <f>(Table3[[#This Row],[P1_AVG (W)]]+Table3[[#This Row],[P2_AVG (W)]]+Table3[[#This Row],[P3_AVG (W)]])</f>
        <v>5566.6666666666633</v>
      </c>
      <c r="P76" s="1">
        <f>ABS(Table3[[#This Row],[P1_AVG (W)]])</f>
        <v>2883.3333333333298</v>
      </c>
      <c r="Q76" s="1">
        <f>ABS(Table3[[#This Row],[P2_AVG (W)]])</f>
        <v>1000</v>
      </c>
      <c r="R76" s="1">
        <f>ABS(Table3[[#This Row],[P3_AVG (W)]])</f>
        <v>1683.3333333333333</v>
      </c>
      <c r="S76" s="1">
        <f>SUM(Table3[[#This Row],[P1_AVG (W)2]:[P3_AVG (W)2]])</f>
        <v>5566.6666666666633</v>
      </c>
    </row>
    <row r="77" spans="1:19" x14ac:dyDescent="0.3">
      <c r="A77" s="2">
        <v>46210</v>
      </c>
      <c r="B77" s="3">
        <v>0.83333333333333337</v>
      </c>
      <c r="C77">
        <v>230</v>
      </c>
      <c r="D77">
        <v>228</v>
      </c>
      <c r="E77">
        <v>229</v>
      </c>
      <c r="F77" s="1">
        <v>12.466666666666667</v>
      </c>
      <c r="G77" s="1">
        <v>10.4</v>
      </c>
      <c r="H77" s="1">
        <v>12.616666666666667</v>
      </c>
      <c r="I77" s="1">
        <v>-0.97909999999999997</v>
      </c>
      <c r="J77" s="1">
        <v>-0.40279999999999999</v>
      </c>
      <c r="K77" s="1">
        <v>0.57130000000000003</v>
      </c>
      <c r="L77" s="1">
        <v>2800</v>
      </c>
      <c r="M77" s="1">
        <v>950</v>
      </c>
      <c r="N77" s="1">
        <v>1650</v>
      </c>
      <c r="O77" s="1">
        <f>(Table3[[#This Row],[P1_AVG (W)]]+Table3[[#This Row],[P2_AVG (W)]]+Table3[[#This Row],[P3_AVG (W)]])</f>
        <v>5400</v>
      </c>
      <c r="P77" s="1">
        <f>ABS(Table3[[#This Row],[P1_AVG (W)]])</f>
        <v>2800</v>
      </c>
      <c r="Q77" s="1">
        <f>ABS(Table3[[#This Row],[P2_AVG (W)]])</f>
        <v>950</v>
      </c>
      <c r="R77" s="1">
        <f>ABS(Table3[[#This Row],[P3_AVG (W)]])</f>
        <v>1650</v>
      </c>
      <c r="S77" s="1">
        <f>SUM(Table3[[#This Row],[P1_AVG (W)2]:[P3_AVG (W)2]])</f>
        <v>5400</v>
      </c>
    </row>
    <row r="78" spans="1:19" x14ac:dyDescent="0.3">
      <c r="A78" s="2">
        <v>46210</v>
      </c>
      <c r="B78" s="3">
        <v>0.84375</v>
      </c>
      <c r="C78">
        <v>232</v>
      </c>
      <c r="D78">
        <v>230</v>
      </c>
      <c r="E78">
        <v>231</v>
      </c>
      <c r="F78" s="1">
        <v>12.516666666666667</v>
      </c>
      <c r="G78" s="1">
        <v>10.4</v>
      </c>
      <c r="H78" s="1">
        <v>12.733333333333333</v>
      </c>
      <c r="I78" s="1">
        <v>-0.97860000000000003</v>
      </c>
      <c r="J78" s="1">
        <v>-0.40129999999999999</v>
      </c>
      <c r="K78" s="1">
        <v>0.5716</v>
      </c>
      <c r="L78" s="1">
        <v>2850</v>
      </c>
      <c r="M78" s="1">
        <v>966.66666666666663</v>
      </c>
      <c r="N78" s="1">
        <v>1683.3333333333333</v>
      </c>
      <c r="O78" s="1">
        <f>(Table3[[#This Row],[P1_AVG (W)]]+Table3[[#This Row],[P2_AVG (W)]]+Table3[[#This Row],[P3_AVG (W)]])</f>
        <v>5500</v>
      </c>
      <c r="P78" s="1">
        <f>ABS(Table3[[#This Row],[P1_AVG (W)]])</f>
        <v>2850</v>
      </c>
      <c r="Q78" s="1">
        <f>ABS(Table3[[#This Row],[P2_AVG (W)]])</f>
        <v>966.66666666666663</v>
      </c>
      <c r="R78" s="1">
        <f>ABS(Table3[[#This Row],[P3_AVG (W)]])</f>
        <v>1683.3333333333333</v>
      </c>
      <c r="S78" s="1">
        <f>SUM(Table3[[#This Row],[P1_AVG (W)2]:[P3_AVG (W)2]])</f>
        <v>5500</v>
      </c>
    </row>
    <row r="79" spans="1:19" x14ac:dyDescent="0.3">
      <c r="A79" s="2">
        <v>46210</v>
      </c>
      <c r="B79" s="3">
        <v>0.85416666666666663</v>
      </c>
      <c r="C79">
        <v>234</v>
      </c>
      <c r="D79">
        <v>232</v>
      </c>
      <c r="E79">
        <v>233</v>
      </c>
      <c r="F79" s="1">
        <v>12.45</v>
      </c>
      <c r="G79" s="1">
        <v>10.35</v>
      </c>
      <c r="H79" s="1">
        <v>12.816666666666666</v>
      </c>
      <c r="I79" s="1">
        <v>-0.97789999999999999</v>
      </c>
      <c r="J79" s="1">
        <v>-0.39910000000000001</v>
      </c>
      <c r="K79" s="1">
        <v>0.57169999999999999</v>
      </c>
      <c r="L79" s="1">
        <v>2850</v>
      </c>
      <c r="M79" s="1">
        <v>950</v>
      </c>
      <c r="N79" s="1">
        <v>1700</v>
      </c>
      <c r="O79" s="1">
        <f>(Table3[[#This Row],[P1_AVG (W)]]+Table3[[#This Row],[P2_AVG (W)]]+Table3[[#This Row],[P3_AVG (W)]])</f>
        <v>5500</v>
      </c>
      <c r="P79" s="1">
        <f>ABS(Table3[[#This Row],[P1_AVG (W)]])</f>
        <v>2850</v>
      </c>
      <c r="Q79" s="1">
        <f>ABS(Table3[[#This Row],[P2_AVG (W)]])</f>
        <v>950</v>
      </c>
      <c r="R79" s="1">
        <f>ABS(Table3[[#This Row],[P3_AVG (W)]])</f>
        <v>1700</v>
      </c>
      <c r="S79" s="1">
        <f>SUM(Table3[[#This Row],[P1_AVG (W)2]:[P3_AVG (W)2]])</f>
        <v>5500</v>
      </c>
    </row>
    <row r="80" spans="1:19" x14ac:dyDescent="0.3">
      <c r="A80" s="2">
        <v>46210</v>
      </c>
      <c r="B80" s="3">
        <v>0.86458333333333337</v>
      </c>
      <c r="C80">
        <v>233</v>
      </c>
      <c r="D80">
        <v>230</v>
      </c>
      <c r="E80">
        <v>232</v>
      </c>
      <c r="F80" s="1">
        <v>12.316666666666666</v>
      </c>
      <c r="G80" s="1">
        <v>10.266666666666667</v>
      </c>
      <c r="H80" s="1">
        <v>13</v>
      </c>
      <c r="I80" s="1">
        <v>-0.97819999999999996</v>
      </c>
      <c r="J80" s="1">
        <v>-0.40029999999999999</v>
      </c>
      <c r="K80" s="1">
        <v>0.57450000000000001</v>
      </c>
      <c r="L80" s="1">
        <v>2800</v>
      </c>
      <c r="M80" s="1">
        <v>950</v>
      </c>
      <c r="N80" s="1">
        <v>1733.3333333333333</v>
      </c>
      <c r="O80" s="1">
        <f>(Table3[[#This Row],[P1_AVG (W)]]+Table3[[#This Row],[P2_AVG (W)]]+Table3[[#This Row],[P3_AVG (W)]])</f>
        <v>5483.333333333333</v>
      </c>
      <c r="P80" s="1">
        <f>ABS(Table3[[#This Row],[P1_AVG (W)]])</f>
        <v>2800</v>
      </c>
      <c r="Q80" s="1">
        <f>ABS(Table3[[#This Row],[P2_AVG (W)]])</f>
        <v>950</v>
      </c>
      <c r="R80" s="1">
        <f>ABS(Table3[[#This Row],[P3_AVG (W)]])</f>
        <v>1733.3333333333333</v>
      </c>
      <c r="S80" s="1">
        <f>SUM(Table3[[#This Row],[P1_AVG (W)2]:[P3_AVG (W)2]])</f>
        <v>5483.333333333333</v>
      </c>
    </row>
    <row r="81" spans="1:19" x14ac:dyDescent="0.3">
      <c r="A81" s="2">
        <v>46210</v>
      </c>
      <c r="B81" s="3">
        <v>0.875</v>
      </c>
      <c r="C81">
        <v>235</v>
      </c>
      <c r="D81">
        <v>233</v>
      </c>
      <c r="E81">
        <v>234</v>
      </c>
      <c r="F81" s="1">
        <v>12.266666666666667</v>
      </c>
      <c r="G81" s="1">
        <v>10.25</v>
      </c>
      <c r="H81" s="1">
        <v>12.85</v>
      </c>
      <c r="I81" s="1">
        <v>-0.97650000000000003</v>
      </c>
      <c r="J81" s="1">
        <v>-0.3982</v>
      </c>
      <c r="K81" s="1">
        <v>0.57479999999999998</v>
      </c>
      <c r="L81" s="1">
        <v>2816.6666666666702</v>
      </c>
      <c r="M81" s="1">
        <v>950</v>
      </c>
      <c r="N81" s="1">
        <v>1733.3333333333333</v>
      </c>
      <c r="O81" s="1">
        <f>(Table3[[#This Row],[P1_AVG (W)]]+Table3[[#This Row],[P2_AVG (W)]]+Table3[[#This Row],[P3_AVG (W)]])</f>
        <v>5500.0000000000036</v>
      </c>
      <c r="P81" s="1">
        <f>ABS(Table3[[#This Row],[P1_AVG (W)]])</f>
        <v>2816.6666666666702</v>
      </c>
      <c r="Q81" s="1">
        <f>ABS(Table3[[#This Row],[P2_AVG (W)]])</f>
        <v>950</v>
      </c>
      <c r="R81" s="1">
        <f>ABS(Table3[[#This Row],[P3_AVG (W)]])</f>
        <v>1733.3333333333333</v>
      </c>
      <c r="S81" s="1">
        <f>SUM(Table3[[#This Row],[P1_AVG (W)2]:[P3_AVG (W)2]])</f>
        <v>5500.0000000000036</v>
      </c>
    </row>
    <row r="82" spans="1:19" x14ac:dyDescent="0.3">
      <c r="A82" s="2">
        <v>46210</v>
      </c>
      <c r="B82" s="3">
        <v>0.88541666666666663</v>
      </c>
      <c r="C82">
        <v>234</v>
      </c>
      <c r="D82">
        <v>232</v>
      </c>
      <c r="E82">
        <v>233</v>
      </c>
      <c r="F82" s="1">
        <v>12.45</v>
      </c>
      <c r="G82" s="1">
        <v>10.433333333333334</v>
      </c>
      <c r="H82" s="1">
        <v>12.8</v>
      </c>
      <c r="I82" s="1">
        <v>-0.97740000000000005</v>
      </c>
      <c r="J82" s="1">
        <v>-0.39979999999999999</v>
      </c>
      <c r="K82" s="1">
        <v>0.56850000000000001</v>
      </c>
      <c r="L82" s="1">
        <v>2850</v>
      </c>
      <c r="M82" s="1">
        <v>966.66666666666663</v>
      </c>
      <c r="N82" s="1">
        <v>1700</v>
      </c>
      <c r="O82" s="1">
        <f>(Table3[[#This Row],[P1_AVG (W)]]+Table3[[#This Row],[P2_AVG (W)]]+Table3[[#This Row],[P3_AVG (W)]])</f>
        <v>5516.6666666666661</v>
      </c>
      <c r="P82" s="1">
        <f>ABS(Table3[[#This Row],[P1_AVG (W)]])</f>
        <v>2850</v>
      </c>
      <c r="Q82" s="1">
        <f>ABS(Table3[[#This Row],[P2_AVG (W)]])</f>
        <v>966.66666666666663</v>
      </c>
      <c r="R82" s="1">
        <f>ABS(Table3[[#This Row],[P3_AVG (W)]])</f>
        <v>1700</v>
      </c>
      <c r="S82" s="1">
        <f>SUM(Table3[[#This Row],[P1_AVG (W)2]:[P3_AVG (W)2]])</f>
        <v>5516.6666666666661</v>
      </c>
    </row>
    <row r="83" spans="1:19" x14ac:dyDescent="0.3">
      <c r="A83" s="2">
        <v>46210</v>
      </c>
      <c r="B83" s="3">
        <v>0.89583333333333337</v>
      </c>
      <c r="C83">
        <v>234</v>
      </c>
      <c r="D83">
        <v>231</v>
      </c>
      <c r="E83">
        <v>232</v>
      </c>
      <c r="F83" s="1">
        <v>12.5</v>
      </c>
      <c r="G83" s="1">
        <v>10.483333333333333</v>
      </c>
      <c r="H83" s="1">
        <v>12.7</v>
      </c>
      <c r="I83" s="1">
        <v>-0.9778</v>
      </c>
      <c r="J83" s="1">
        <v>-0.4012</v>
      </c>
      <c r="K83" s="1">
        <v>0.56540000000000001</v>
      </c>
      <c r="L83" s="1">
        <v>2850</v>
      </c>
      <c r="M83" s="1">
        <v>966.66666666666663</v>
      </c>
      <c r="N83" s="1">
        <v>1666.6666666666667</v>
      </c>
      <c r="O83" s="1">
        <f>(Table3[[#This Row],[P1_AVG (W)]]+Table3[[#This Row],[P2_AVG (W)]]+Table3[[#This Row],[P3_AVG (W)]])</f>
        <v>5483.333333333333</v>
      </c>
      <c r="P83" s="1">
        <f>ABS(Table3[[#This Row],[P1_AVG (W)]])</f>
        <v>2850</v>
      </c>
      <c r="Q83" s="1">
        <f>ABS(Table3[[#This Row],[P2_AVG (W)]])</f>
        <v>966.66666666666663</v>
      </c>
      <c r="R83" s="1">
        <f>ABS(Table3[[#This Row],[P3_AVG (W)]])</f>
        <v>1666.6666666666667</v>
      </c>
      <c r="S83" s="1">
        <f>SUM(Table3[[#This Row],[P1_AVG (W)2]:[P3_AVG (W)2]])</f>
        <v>5483.333333333333</v>
      </c>
    </row>
    <row r="84" spans="1:19" x14ac:dyDescent="0.3">
      <c r="A84" s="2">
        <v>46210</v>
      </c>
      <c r="B84" s="3">
        <v>0.90625</v>
      </c>
      <c r="C84">
        <v>235</v>
      </c>
      <c r="D84">
        <v>232</v>
      </c>
      <c r="E84">
        <v>233</v>
      </c>
      <c r="F84" s="1">
        <v>12.583333333333334</v>
      </c>
      <c r="G84" s="1">
        <v>10.55</v>
      </c>
      <c r="H84" s="1">
        <v>13.05</v>
      </c>
      <c r="I84" s="1">
        <v>-0.97799999999999998</v>
      </c>
      <c r="J84" s="1">
        <v>-0.4007</v>
      </c>
      <c r="K84" s="1">
        <v>0.55720000000000003</v>
      </c>
      <c r="L84" s="1">
        <v>2883.3333333333298</v>
      </c>
      <c r="M84" s="1">
        <v>983.33333333333337</v>
      </c>
      <c r="N84" s="1">
        <v>1683.3333333333333</v>
      </c>
      <c r="O84" s="1">
        <f>(Table3[[#This Row],[P1_AVG (W)]]+Table3[[#This Row],[P2_AVG (W)]]+Table3[[#This Row],[P3_AVG (W)]])</f>
        <v>5549.9999999999964</v>
      </c>
      <c r="P84" s="1">
        <f>ABS(Table3[[#This Row],[P1_AVG (W)]])</f>
        <v>2883.3333333333298</v>
      </c>
      <c r="Q84" s="1">
        <f>ABS(Table3[[#This Row],[P2_AVG (W)]])</f>
        <v>983.33333333333337</v>
      </c>
      <c r="R84" s="1">
        <f>ABS(Table3[[#This Row],[P3_AVG (W)]])</f>
        <v>1683.3333333333333</v>
      </c>
      <c r="S84" s="1">
        <f>SUM(Table3[[#This Row],[P1_AVG (W)2]:[P3_AVG (W)2]])</f>
        <v>5549.9999999999964</v>
      </c>
    </row>
    <row r="85" spans="1:19" x14ac:dyDescent="0.3">
      <c r="A85" s="2">
        <v>46210</v>
      </c>
      <c r="B85" s="3">
        <v>0.91666666666666663</v>
      </c>
      <c r="C85">
        <v>235</v>
      </c>
      <c r="D85">
        <v>233</v>
      </c>
      <c r="E85">
        <v>234</v>
      </c>
      <c r="F85" s="1">
        <v>12.533333333333333</v>
      </c>
      <c r="G85" s="1">
        <v>9.9833333333333325</v>
      </c>
      <c r="H85" s="1">
        <v>13.4</v>
      </c>
      <c r="I85" s="1">
        <v>-0.97750000000000004</v>
      </c>
      <c r="J85" s="1">
        <v>-0.39090000000000003</v>
      </c>
      <c r="K85" s="1">
        <v>0.55510000000000004</v>
      </c>
      <c r="L85" s="1">
        <v>2883.3333333333298</v>
      </c>
      <c r="M85" s="1">
        <v>900</v>
      </c>
      <c r="N85" s="1">
        <v>1733.3333333333333</v>
      </c>
      <c r="O85" s="1">
        <f>(Table3[[#This Row],[P1_AVG (W)]]+Table3[[#This Row],[P2_AVG (W)]]+Table3[[#This Row],[P3_AVG (W)]])</f>
        <v>5516.6666666666633</v>
      </c>
      <c r="P85" s="1">
        <f>ABS(Table3[[#This Row],[P1_AVG (W)]])</f>
        <v>2883.3333333333298</v>
      </c>
      <c r="Q85" s="1">
        <f>ABS(Table3[[#This Row],[P2_AVG (W)]])</f>
        <v>900</v>
      </c>
      <c r="R85" s="1">
        <f>ABS(Table3[[#This Row],[P3_AVG (W)]])</f>
        <v>1733.3333333333333</v>
      </c>
      <c r="S85" s="1">
        <f>SUM(Table3[[#This Row],[P1_AVG (W)2]:[P3_AVG (W)2]])</f>
        <v>5516.6666666666633</v>
      </c>
    </row>
    <row r="86" spans="1:19" x14ac:dyDescent="0.3">
      <c r="A86" s="2">
        <v>46210</v>
      </c>
      <c r="B86" s="3">
        <v>0.92708333333333337</v>
      </c>
      <c r="C86">
        <v>234</v>
      </c>
      <c r="D86">
        <v>231</v>
      </c>
      <c r="E86">
        <v>232</v>
      </c>
      <c r="F86" s="1">
        <v>12.116666666666667</v>
      </c>
      <c r="G86" s="1">
        <v>10.066666666666666</v>
      </c>
      <c r="H86" s="1">
        <v>13.55</v>
      </c>
      <c r="I86" s="1">
        <v>-0.97670000000000001</v>
      </c>
      <c r="J86" s="1">
        <v>-0.39379999999999998</v>
      </c>
      <c r="K86" s="1">
        <v>0.55600000000000005</v>
      </c>
      <c r="L86" s="1">
        <v>2766.6666666666702</v>
      </c>
      <c r="M86" s="1">
        <v>916.66666666666663</v>
      </c>
      <c r="N86" s="1">
        <v>1750</v>
      </c>
      <c r="O86" s="1">
        <f>(Table3[[#This Row],[P1_AVG (W)]]+Table3[[#This Row],[P2_AVG (W)]]+Table3[[#This Row],[P3_AVG (W)]])</f>
        <v>5433.3333333333367</v>
      </c>
      <c r="P86" s="1">
        <f>ABS(Table3[[#This Row],[P1_AVG (W)]])</f>
        <v>2766.6666666666702</v>
      </c>
      <c r="Q86" s="1">
        <f>ABS(Table3[[#This Row],[P2_AVG (W)]])</f>
        <v>916.66666666666663</v>
      </c>
      <c r="R86" s="1">
        <f>ABS(Table3[[#This Row],[P3_AVG (W)]])</f>
        <v>1750</v>
      </c>
      <c r="S86" s="1">
        <f>SUM(Table3[[#This Row],[P1_AVG (W)2]:[P3_AVG (W)2]])</f>
        <v>5433.3333333333367</v>
      </c>
    </row>
    <row r="87" spans="1:19" x14ac:dyDescent="0.3">
      <c r="A87" s="2">
        <v>46210</v>
      </c>
      <c r="B87" s="3">
        <v>0.9375</v>
      </c>
      <c r="C87">
        <v>235</v>
      </c>
      <c r="D87">
        <v>232</v>
      </c>
      <c r="E87">
        <v>233</v>
      </c>
      <c r="F87" s="1">
        <v>12.233333333333333</v>
      </c>
      <c r="G87" s="1">
        <v>10</v>
      </c>
      <c r="H87" s="1">
        <v>13.433333333333334</v>
      </c>
      <c r="I87" s="1">
        <v>-0.97640000000000005</v>
      </c>
      <c r="J87" s="1">
        <v>-0.39439999999999997</v>
      </c>
      <c r="K87" s="1">
        <v>0.55459999999999998</v>
      </c>
      <c r="L87" s="1">
        <v>2800</v>
      </c>
      <c r="M87" s="1">
        <v>916.66666666666663</v>
      </c>
      <c r="N87" s="1">
        <v>1733.3333333333333</v>
      </c>
      <c r="O87" s="1">
        <f>(Table3[[#This Row],[P1_AVG (W)]]+Table3[[#This Row],[P2_AVG (W)]]+Table3[[#This Row],[P3_AVG (W)]])</f>
        <v>5450</v>
      </c>
      <c r="P87" s="1">
        <f>ABS(Table3[[#This Row],[P1_AVG (W)]])</f>
        <v>2800</v>
      </c>
      <c r="Q87" s="1">
        <f>ABS(Table3[[#This Row],[P2_AVG (W)]])</f>
        <v>916.66666666666663</v>
      </c>
      <c r="R87" s="1">
        <f>ABS(Table3[[#This Row],[P3_AVG (W)]])</f>
        <v>1733.3333333333333</v>
      </c>
      <c r="S87" s="1">
        <f>SUM(Table3[[#This Row],[P1_AVG (W)2]:[P3_AVG (W)2]])</f>
        <v>5450</v>
      </c>
    </row>
    <row r="88" spans="1:19" x14ac:dyDescent="0.3">
      <c r="A88" s="2">
        <v>46210</v>
      </c>
      <c r="B88" s="3">
        <v>0.94791666666666663</v>
      </c>
      <c r="C88">
        <v>233</v>
      </c>
      <c r="D88">
        <v>231</v>
      </c>
      <c r="E88">
        <v>232</v>
      </c>
      <c r="F88" s="1">
        <v>12.616666666666667</v>
      </c>
      <c r="G88" s="1">
        <v>10.266666666666667</v>
      </c>
      <c r="H88" s="1">
        <v>12.683333333333334</v>
      </c>
      <c r="I88" s="1">
        <v>-0.97819999999999996</v>
      </c>
      <c r="J88" s="1">
        <v>-0.4002</v>
      </c>
      <c r="K88" s="1">
        <v>0.55959999999999999</v>
      </c>
      <c r="L88" s="1">
        <v>2883.3333333333298</v>
      </c>
      <c r="M88" s="1">
        <v>950</v>
      </c>
      <c r="N88" s="1">
        <v>1633.3333333333333</v>
      </c>
      <c r="O88" s="1">
        <f>(Table3[[#This Row],[P1_AVG (W)]]+Table3[[#This Row],[P2_AVG (W)]]+Table3[[#This Row],[P3_AVG (W)]])</f>
        <v>5466.6666666666633</v>
      </c>
      <c r="P88" s="1">
        <f>ABS(Table3[[#This Row],[P1_AVG (W)]])</f>
        <v>2883.3333333333298</v>
      </c>
      <c r="Q88" s="1">
        <f>ABS(Table3[[#This Row],[P2_AVG (W)]])</f>
        <v>950</v>
      </c>
      <c r="R88" s="1">
        <f>ABS(Table3[[#This Row],[P3_AVG (W)]])</f>
        <v>1633.3333333333333</v>
      </c>
      <c r="S88" s="1">
        <f>SUM(Table3[[#This Row],[P1_AVG (W)2]:[P3_AVG (W)2]])</f>
        <v>5466.6666666666633</v>
      </c>
    </row>
    <row r="89" spans="1:19" x14ac:dyDescent="0.3">
      <c r="A89" s="2">
        <v>46210</v>
      </c>
      <c r="B89" s="3">
        <v>0.95833333333333337</v>
      </c>
      <c r="C89">
        <v>234</v>
      </c>
      <c r="D89">
        <v>232</v>
      </c>
      <c r="E89">
        <v>233</v>
      </c>
      <c r="F89" s="1">
        <v>12.216666666666667</v>
      </c>
      <c r="G89" s="1">
        <v>10.316666666666666</v>
      </c>
      <c r="H89" s="1">
        <v>11.933333333333334</v>
      </c>
      <c r="I89" s="1">
        <v>-0.97640000000000005</v>
      </c>
      <c r="J89" s="1">
        <v>-0.40029999999999999</v>
      </c>
      <c r="K89" s="1">
        <v>0.56169999999999998</v>
      </c>
      <c r="L89" s="1">
        <v>2800</v>
      </c>
      <c r="M89" s="1">
        <v>950</v>
      </c>
      <c r="N89" s="1">
        <v>1566.6666666666667</v>
      </c>
      <c r="O89" s="1">
        <f>(Table3[[#This Row],[P1_AVG (W)]]+Table3[[#This Row],[P2_AVG (W)]]+Table3[[#This Row],[P3_AVG (W)]])</f>
        <v>5316.666666666667</v>
      </c>
      <c r="P89" s="1">
        <f>ABS(Table3[[#This Row],[P1_AVG (W)]])</f>
        <v>2800</v>
      </c>
      <c r="Q89" s="1">
        <f>ABS(Table3[[#This Row],[P2_AVG (W)]])</f>
        <v>950</v>
      </c>
      <c r="R89" s="1">
        <f>ABS(Table3[[#This Row],[P3_AVG (W)]])</f>
        <v>1566.6666666666667</v>
      </c>
      <c r="S89" s="1">
        <f>SUM(Table3[[#This Row],[P1_AVG (W)2]:[P3_AVG (W)2]])</f>
        <v>5316.666666666667</v>
      </c>
    </row>
    <row r="90" spans="1:19" x14ac:dyDescent="0.3">
      <c r="A90" s="2">
        <v>46210</v>
      </c>
      <c r="B90" s="3">
        <v>0.96875</v>
      </c>
      <c r="C90">
        <v>235</v>
      </c>
      <c r="D90">
        <v>233</v>
      </c>
      <c r="E90">
        <v>234</v>
      </c>
      <c r="F90" s="1">
        <v>12.116666666666667</v>
      </c>
      <c r="G90" s="1">
        <v>10.183333333333334</v>
      </c>
      <c r="H90" s="1">
        <v>11.7</v>
      </c>
      <c r="I90" s="1">
        <v>-0.97619999999999996</v>
      </c>
      <c r="J90" s="1">
        <v>-0.39950000000000002</v>
      </c>
      <c r="K90" s="1">
        <v>0.55779999999999996</v>
      </c>
      <c r="L90" s="1">
        <v>2783.3333333333298</v>
      </c>
      <c r="M90" s="1">
        <v>950</v>
      </c>
      <c r="N90" s="1">
        <v>1516.6666666666667</v>
      </c>
      <c r="O90" s="1">
        <f>(Table3[[#This Row],[P1_AVG (W)]]+Table3[[#This Row],[P2_AVG (W)]]+Table3[[#This Row],[P3_AVG (W)]])</f>
        <v>5249.9999999999964</v>
      </c>
      <c r="P90" s="1">
        <f>ABS(Table3[[#This Row],[P1_AVG (W)]])</f>
        <v>2783.3333333333298</v>
      </c>
      <c r="Q90" s="1">
        <f>ABS(Table3[[#This Row],[P2_AVG (W)]])</f>
        <v>950</v>
      </c>
      <c r="R90" s="1">
        <f>ABS(Table3[[#This Row],[P3_AVG (W)]])</f>
        <v>1516.6666666666667</v>
      </c>
      <c r="S90" s="1">
        <f>SUM(Table3[[#This Row],[P1_AVG (W)2]:[P3_AVG (W)2]])</f>
        <v>5249.9999999999964</v>
      </c>
    </row>
    <row r="91" spans="1:19" x14ac:dyDescent="0.3">
      <c r="A91" s="2">
        <v>46210</v>
      </c>
      <c r="B91" s="3">
        <v>0.97916666666666663</v>
      </c>
      <c r="C91">
        <v>234</v>
      </c>
      <c r="D91">
        <v>232</v>
      </c>
      <c r="E91">
        <v>233</v>
      </c>
      <c r="F91" s="1">
        <v>12.416666666666666</v>
      </c>
      <c r="G91" s="1">
        <v>10.483333333333333</v>
      </c>
      <c r="H91" s="1">
        <v>12.2</v>
      </c>
      <c r="I91" s="1">
        <v>-0.97750000000000004</v>
      </c>
      <c r="J91" s="1">
        <v>-0.40250000000000002</v>
      </c>
      <c r="K91" s="1">
        <v>0.55789999999999995</v>
      </c>
      <c r="L91" s="1">
        <v>2833.3333333333298</v>
      </c>
      <c r="M91" s="1">
        <v>983.33333333333337</v>
      </c>
      <c r="N91" s="1">
        <v>1583.3333333333333</v>
      </c>
      <c r="O91" s="1">
        <f>(Table3[[#This Row],[P1_AVG (W)]]+Table3[[#This Row],[P2_AVG (W)]]+Table3[[#This Row],[P3_AVG (W)]])</f>
        <v>5399.9999999999964</v>
      </c>
      <c r="P91" s="1">
        <f>ABS(Table3[[#This Row],[P1_AVG (W)]])</f>
        <v>2833.3333333333298</v>
      </c>
      <c r="Q91" s="1">
        <f>ABS(Table3[[#This Row],[P2_AVG (W)]])</f>
        <v>983.33333333333337</v>
      </c>
      <c r="R91" s="1">
        <f>ABS(Table3[[#This Row],[P3_AVG (W)]])</f>
        <v>1583.3333333333333</v>
      </c>
      <c r="S91" s="1">
        <f>SUM(Table3[[#This Row],[P1_AVG (W)2]:[P3_AVG (W)2]])</f>
        <v>5399.9999999999964</v>
      </c>
    </row>
    <row r="92" spans="1:19" x14ac:dyDescent="0.3">
      <c r="A92" s="2">
        <v>46210</v>
      </c>
      <c r="B92" s="3">
        <v>0.98958333333333337</v>
      </c>
      <c r="C92">
        <v>235</v>
      </c>
      <c r="D92">
        <v>232</v>
      </c>
      <c r="E92">
        <v>233</v>
      </c>
      <c r="F92" s="1">
        <v>12.133333333333333</v>
      </c>
      <c r="G92" s="1">
        <v>10.183333333333334</v>
      </c>
      <c r="H92" s="1">
        <v>12.233333333333333</v>
      </c>
      <c r="I92" s="1">
        <v>-0.9758</v>
      </c>
      <c r="J92" s="1">
        <v>-0.39710000000000001</v>
      </c>
      <c r="K92" s="1">
        <v>0.5615</v>
      </c>
      <c r="L92" s="1">
        <v>2783.3333333333298</v>
      </c>
      <c r="M92" s="1">
        <v>933.33333333333337</v>
      </c>
      <c r="N92" s="1">
        <v>1600</v>
      </c>
      <c r="O92" s="1">
        <f>(Table3[[#This Row],[P1_AVG (W)]]+Table3[[#This Row],[P2_AVG (W)]]+Table3[[#This Row],[P3_AVG (W)]])</f>
        <v>5316.6666666666633</v>
      </c>
      <c r="P92" s="1">
        <f>ABS(Table3[[#This Row],[P1_AVG (W)]])</f>
        <v>2783.3333333333298</v>
      </c>
      <c r="Q92" s="1">
        <f>ABS(Table3[[#This Row],[P2_AVG (W)]])</f>
        <v>933.33333333333337</v>
      </c>
      <c r="R92" s="1">
        <f>ABS(Table3[[#This Row],[P3_AVG (W)]])</f>
        <v>1600</v>
      </c>
      <c r="S92" s="1">
        <f>SUM(Table3[[#This Row],[P1_AVG (W)2]:[P3_AVG (W)2]])</f>
        <v>5316.6666666666633</v>
      </c>
    </row>
    <row r="93" spans="1:19" x14ac:dyDescent="0.3">
      <c r="A93" s="2">
        <v>46241</v>
      </c>
      <c r="B93" s="3">
        <v>0</v>
      </c>
      <c r="C93">
        <v>235</v>
      </c>
      <c r="D93">
        <v>233</v>
      </c>
      <c r="E93">
        <v>234</v>
      </c>
      <c r="F93" s="1">
        <v>12.066666666666666</v>
      </c>
      <c r="G93" s="1">
        <v>10.116666666666667</v>
      </c>
      <c r="H93" s="1">
        <v>12.1</v>
      </c>
      <c r="I93" s="1">
        <v>-0.97499999999999998</v>
      </c>
      <c r="J93" s="1">
        <v>-0.39610000000000001</v>
      </c>
      <c r="K93" s="1">
        <v>0.56299999999999994</v>
      </c>
      <c r="L93" s="1">
        <v>2766.6666666666702</v>
      </c>
      <c r="M93" s="1">
        <v>933.33333333333337</v>
      </c>
      <c r="N93" s="1">
        <v>1600</v>
      </c>
      <c r="O93" s="1">
        <f>(Table3[[#This Row],[P1_AVG (W)]]+Table3[[#This Row],[P2_AVG (W)]]+Table3[[#This Row],[P3_AVG (W)]])</f>
        <v>5300.0000000000036</v>
      </c>
      <c r="P93" s="1">
        <f>ABS(Table3[[#This Row],[P1_AVG (W)]])</f>
        <v>2766.6666666666702</v>
      </c>
      <c r="Q93" s="1">
        <f>ABS(Table3[[#This Row],[P2_AVG (W)]])</f>
        <v>933.33333333333337</v>
      </c>
      <c r="R93" s="1">
        <f>ABS(Table3[[#This Row],[P3_AVG (W)]])</f>
        <v>1600</v>
      </c>
      <c r="S93" s="1">
        <f>SUM(Table3[[#This Row],[P1_AVG (W)2]:[P3_AVG (W)2]])</f>
        <v>5300.0000000000036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7000D-3B2A-4CAE-8529-782413287417}">
  <dimension ref="A1:R98"/>
  <sheetViews>
    <sheetView tabSelected="1" workbookViewId="0">
      <selection activeCell="T10" sqref="T10"/>
    </sheetView>
  </sheetViews>
  <sheetFormatPr defaultRowHeight="14.4" x14ac:dyDescent="0.3"/>
  <cols>
    <col min="15" max="15" width="13.44140625" customWidth="1"/>
    <col min="16" max="16" width="19.109375" customWidth="1"/>
    <col min="18" max="18" width="15.77734375" customWidth="1"/>
  </cols>
  <sheetData>
    <row r="1" spans="1:18" x14ac:dyDescent="0.3">
      <c r="A1" s="109" t="s">
        <v>193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27"/>
      <c r="Q1" s="27"/>
      <c r="R1" s="88"/>
    </row>
    <row r="2" spans="1:18" x14ac:dyDescent="0.3">
      <c r="A2" s="110" t="s">
        <v>0</v>
      </c>
      <c r="B2" s="110" t="s">
        <v>1</v>
      </c>
      <c r="C2" s="110" t="s">
        <v>2</v>
      </c>
      <c r="D2" s="110" t="s">
        <v>3</v>
      </c>
      <c r="E2" s="110" t="s">
        <v>4</v>
      </c>
      <c r="F2" s="110" t="s">
        <v>5</v>
      </c>
      <c r="G2" s="110" t="s">
        <v>6</v>
      </c>
      <c r="H2" s="110" t="s">
        <v>7</v>
      </c>
      <c r="I2" s="110" t="s">
        <v>8</v>
      </c>
      <c r="J2" s="110" t="s">
        <v>9</v>
      </c>
      <c r="K2" s="110" t="s">
        <v>10</v>
      </c>
      <c r="L2" s="110" t="s">
        <v>11</v>
      </c>
      <c r="M2" s="110" t="s">
        <v>191</v>
      </c>
      <c r="N2" s="110" t="s">
        <v>192</v>
      </c>
      <c r="O2" s="110" t="s">
        <v>14</v>
      </c>
      <c r="P2" s="31"/>
      <c r="Q2" s="31"/>
      <c r="R2" s="38"/>
    </row>
    <row r="3" spans="1:18" x14ac:dyDescent="0.3">
      <c r="A3" s="111">
        <v>46241</v>
      </c>
      <c r="B3" s="112" t="s">
        <v>194</v>
      </c>
      <c r="C3" s="112">
        <v>227</v>
      </c>
      <c r="D3" s="112">
        <v>228</v>
      </c>
      <c r="E3" s="112">
        <v>230</v>
      </c>
      <c r="F3" s="112">
        <v>4.96</v>
      </c>
      <c r="G3" s="112">
        <v>7.35</v>
      </c>
      <c r="H3" s="112">
        <v>7.43</v>
      </c>
      <c r="I3" s="113">
        <v>0</v>
      </c>
      <c r="J3" s="112">
        <v>0.83069999999999999</v>
      </c>
      <c r="K3" s="112">
        <v>0</v>
      </c>
      <c r="L3" s="113">
        <v>480</v>
      </c>
      <c r="M3" s="112">
        <v>980</v>
      </c>
      <c r="N3" s="112">
        <v>330</v>
      </c>
      <c r="O3" s="113">
        <v>1790</v>
      </c>
      <c r="P3" s="35"/>
      <c r="Q3" s="35"/>
      <c r="R3" s="39"/>
    </row>
    <row r="4" spans="1:18" x14ac:dyDescent="0.3">
      <c r="A4" s="111">
        <v>46241</v>
      </c>
      <c r="B4" s="112" t="s">
        <v>195</v>
      </c>
      <c r="C4" s="112">
        <v>230</v>
      </c>
      <c r="D4" s="112">
        <v>231</v>
      </c>
      <c r="E4" s="112">
        <v>232</v>
      </c>
      <c r="F4" s="112">
        <v>6.98</v>
      </c>
      <c r="G4" s="112">
        <v>9.51</v>
      </c>
      <c r="H4" s="112">
        <v>16.600000000000001</v>
      </c>
      <c r="I4" s="113">
        <v>0.51990000000000003</v>
      </c>
      <c r="J4" s="112">
        <v>0.64529999999999998</v>
      </c>
      <c r="K4" s="112">
        <v>0.31259999999999999</v>
      </c>
      <c r="L4" s="113">
        <v>620</v>
      </c>
      <c r="M4" s="112">
        <v>1220</v>
      </c>
      <c r="N4" s="112">
        <v>1050</v>
      </c>
      <c r="O4" s="113">
        <v>2890</v>
      </c>
      <c r="P4" s="31"/>
      <c r="Q4" s="31"/>
      <c r="R4" s="38"/>
    </row>
    <row r="5" spans="1:18" x14ac:dyDescent="0.3">
      <c r="A5" s="111">
        <v>46241</v>
      </c>
      <c r="B5" s="112" t="s">
        <v>196</v>
      </c>
      <c r="C5" s="112">
        <v>230</v>
      </c>
      <c r="D5" s="112">
        <v>231</v>
      </c>
      <c r="E5" s="112">
        <v>232</v>
      </c>
      <c r="F5" s="112">
        <v>7.26</v>
      </c>
      <c r="G5" s="112">
        <v>9.2100000000000009</v>
      </c>
      <c r="H5" s="112">
        <v>13.9</v>
      </c>
      <c r="I5" s="113">
        <v>0.5665</v>
      </c>
      <c r="J5" s="112">
        <v>0.68479999999999996</v>
      </c>
      <c r="K5" s="112">
        <v>0.38579999999999998</v>
      </c>
      <c r="L5" s="113">
        <v>660</v>
      </c>
      <c r="M5" s="112">
        <v>1170</v>
      </c>
      <c r="N5" s="112">
        <v>1070</v>
      </c>
      <c r="O5" s="113">
        <v>2900</v>
      </c>
      <c r="P5" s="35"/>
      <c r="Q5" s="35"/>
      <c r="R5" s="39"/>
    </row>
    <row r="6" spans="1:18" x14ac:dyDescent="0.3">
      <c r="A6" s="111">
        <v>46241</v>
      </c>
      <c r="B6" s="112" t="s">
        <v>197</v>
      </c>
      <c r="C6" s="112">
        <v>230</v>
      </c>
      <c r="D6" s="112">
        <v>230</v>
      </c>
      <c r="E6" s="112">
        <v>232</v>
      </c>
      <c r="F6" s="112">
        <v>6.14</v>
      </c>
      <c r="G6" s="112">
        <v>6.88</v>
      </c>
      <c r="H6" s="112">
        <v>14.6</v>
      </c>
      <c r="I6" s="113">
        <v>0.69099999999999995</v>
      </c>
      <c r="J6" s="112">
        <v>0.73129999999999995</v>
      </c>
      <c r="K6" s="112">
        <v>0.17680000000000001</v>
      </c>
      <c r="L6" s="113">
        <v>740</v>
      </c>
      <c r="M6" s="112">
        <v>910</v>
      </c>
      <c r="N6" s="112">
        <v>690</v>
      </c>
      <c r="O6" s="113">
        <v>2340</v>
      </c>
      <c r="P6" s="31"/>
      <c r="Q6" s="31"/>
      <c r="R6" s="38"/>
    </row>
    <row r="7" spans="1:18" x14ac:dyDescent="0.3">
      <c r="A7" s="111">
        <v>46241</v>
      </c>
      <c r="B7" s="112" t="s">
        <v>198</v>
      </c>
      <c r="C7" s="112">
        <v>230</v>
      </c>
      <c r="D7" s="112">
        <v>230</v>
      </c>
      <c r="E7" s="112">
        <v>232</v>
      </c>
      <c r="F7" s="112">
        <v>6.05</v>
      </c>
      <c r="G7" s="112">
        <v>7.29</v>
      </c>
      <c r="H7" s="112">
        <v>16.7</v>
      </c>
      <c r="I7" s="113">
        <v>0</v>
      </c>
      <c r="J7" s="112">
        <v>0.61629999999999996</v>
      </c>
      <c r="K7" s="112">
        <v>0.33400000000000002</v>
      </c>
      <c r="L7" s="113">
        <v>340</v>
      </c>
      <c r="M7" s="112">
        <v>930</v>
      </c>
      <c r="N7" s="112">
        <v>1070</v>
      </c>
      <c r="O7" s="113">
        <v>2340</v>
      </c>
      <c r="P7" s="35"/>
      <c r="Q7" s="35"/>
      <c r="R7" s="39"/>
    </row>
    <row r="8" spans="1:18" x14ac:dyDescent="0.3">
      <c r="A8" s="111">
        <v>46241</v>
      </c>
      <c r="B8" s="112" t="s">
        <v>199</v>
      </c>
      <c r="C8" s="112">
        <v>228</v>
      </c>
      <c r="D8" s="112">
        <v>228</v>
      </c>
      <c r="E8" s="112">
        <v>230</v>
      </c>
      <c r="F8" s="112">
        <v>5.74</v>
      </c>
      <c r="G8" s="112">
        <v>6.72</v>
      </c>
      <c r="H8" s="112">
        <v>18.2</v>
      </c>
      <c r="I8" s="113">
        <v>0</v>
      </c>
      <c r="J8" s="112">
        <v>0.69</v>
      </c>
      <c r="K8" s="112">
        <v>0</v>
      </c>
      <c r="L8" s="113">
        <v>560</v>
      </c>
      <c r="M8" s="112">
        <v>870</v>
      </c>
      <c r="N8" s="112">
        <v>1110</v>
      </c>
      <c r="O8" s="113">
        <v>2540</v>
      </c>
      <c r="P8" s="31"/>
      <c r="Q8" s="31"/>
      <c r="R8" s="38"/>
    </row>
    <row r="9" spans="1:18" x14ac:dyDescent="0.3">
      <c r="A9" s="111">
        <v>46241</v>
      </c>
      <c r="B9" s="112" t="s">
        <v>200</v>
      </c>
      <c r="C9" s="112">
        <v>228</v>
      </c>
      <c r="D9" s="112">
        <v>228</v>
      </c>
      <c r="E9" s="112">
        <v>229</v>
      </c>
      <c r="F9" s="112">
        <v>5.76</v>
      </c>
      <c r="G9" s="112">
        <v>6.32</v>
      </c>
      <c r="H9" s="112">
        <v>13.4</v>
      </c>
      <c r="I9" s="113">
        <v>0</v>
      </c>
      <c r="J9" s="112">
        <v>0.67710000000000004</v>
      </c>
      <c r="K9" s="112">
        <v>0.1923</v>
      </c>
      <c r="L9" s="113">
        <v>610</v>
      </c>
      <c r="M9" s="112">
        <v>760</v>
      </c>
      <c r="N9" s="112">
        <v>590</v>
      </c>
      <c r="O9" s="113">
        <v>1960</v>
      </c>
      <c r="P9" s="35"/>
      <c r="Q9" s="35"/>
      <c r="R9" s="39"/>
    </row>
    <row r="10" spans="1:18" x14ac:dyDescent="0.3">
      <c r="A10" s="111">
        <v>46241</v>
      </c>
      <c r="B10" s="112" t="s">
        <v>201</v>
      </c>
      <c r="C10" s="112">
        <v>228</v>
      </c>
      <c r="D10" s="112">
        <v>228</v>
      </c>
      <c r="E10" s="112">
        <v>230</v>
      </c>
      <c r="F10" s="112">
        <v>5.0199999999999996</v>
      </c>
      <c r="G10" s="112">
        <v>4.58</v>
      </c>
      <c r="H10" s="112">
        <v>3.34</v>
      </c>
      <c r="I10" s="113">
        <v>0</v>
      </c>
      <c r="J10" s="112">
        <v>0.85519999999999996</v>
      </c>
      <c r="K10" s="112">
        <v>0</v>
      </c>
      <c r="L10" s="113">
        <v>800</v>
      </c>
      <c r="M10" s="112">
        <v>620</v>
      </c>
      <c r="N10" s="112">
        <v>80</v>
      </c>
      <c r="O10" s="113">
        <v>1500</v>
      </c>
      <c r="P10" s="31"/>
      <c r="Q10" s="31"/>
      <c r="R10" s="38"/>
    </row>
    <row r="11" spans="1:18" x14ac:dyDescent="0.3">
      <c r="A11" s="111">
        <v>46241</v>
      </c>
      <c r="B11" s="112" t="s">
        <v>202</v>
      </c>
      <c r="C11" s="112">
        <v>227</v>
      </c>
      <c r="D11" s="112">
        <v>227</v>
      </c>
      <c r="E11" s="112">
        <v>229</v>
      </c>
      <c r="F11" s="112">
        <v>4.5599999999999996</v>
      </c>
      <c r="G11" s="112">
        <v>5.32</v>
      </c>
      <c r="H11" s="112">
        <v>2.75</v>
      </c>
      <c r="I11" s="113">
        <v>0</v>
      </c>
      <c r="J11" s="112">
        <v>0.87570000000000003</v>
      </c>
      <c r="K11" s="112">
        <v>0</v>
      </c>
      <c r="L11" s="113">
        <v>780</v>
      </c>
      <c r="M11" s="112">
        <v>800</v>
      </c>
      <c r="N11" s="112">
        <v>80</v>
      </c>
      <c r="O11" s="113">
        <v>1660</v>
      </c>
      <c r="P11" s="35"/>
      <c r="Q11" s="35"/>
      <c r="R11" s="39"/>
    </row>
    <row r="12" spans="1:18" x14ac:dyDescent="0.3">
      <c r="A12" s="111">
        <v>46241</v>
      </c>
      <c r="B12" s="112" t="s">
        <v>203</v>
      </c>
      <c r="C12" s="112">
        <v>226</v>
      </c>
      <c r="D12" s="112">
        <v>227</v>
      </c>
      <c r="E12" s="112">
        <v>228</v>
      </c>
      <c r="F12" s="112">
        <v>5.33</v>
      </c>
      <c r="G12" s="112">
        <v>8.6999999999999993</v>
      </c>
      <c r="H12" s="112">
        <v>4.3099999999999996</v>
      </c>
      <c r="I12" s="113">
        <v>0</v>
      </c>
      <c r="J12" s="112">
        <v>0.78790000000000004</v>
      </c>
      <c r="K12" s="112">
        <v>0</v>
      </c>
      <c r="L12" s="113">
        <v>590</v>
      </c>
      <c r="M12" s="112">
        <v>1050</v>
      </c>
      <c r="N12" s="112">
        <v>180</v>
      </c>
      <c r="O12" s="113">
        <v>1820</v>
      </c>
      <c r="P12" s="31"/>
      <c r="Q12" s="31"/>
      <c r="R12" s="38"/>
    </row>
    <row r="13" spans="1:18" x14ac:dyDescent="0.3">
      <c r="A13" s="111">
        <v>46241</v>
      </c>
      <c r="B13" s="112" t="s">
        <v>204</v>
      </c>
      <c r="C13" s="112">
        <v>229</v>
      </c>
      <c r="D13" s="112">
        <v>229</v>
      </c>
      <c r="E13" s="112">
        <v>231</v>
      </c>
      <c r="F13" s="112">
        <v>6.22</v>
      </c>
      <c r="G13" s="112">
        <v>10.8</v>
      </c>
      <c r="H13" s="112">
        <v>4.99</v>
      </c>
      <c r="I13" s="113">
        <v>0.58660000000000001</v>
      </c>
      <c r="J13" s="112">
        <v>0.68049999999999999</v>
      </c>
      <c r="K13" s="112">
        <v>0</v>
      </c>
      <c r="L13" s="113">
        <v>690</v>
      </c>
      <c r="M13" s="112">
        <v>1460</v>
      </c>
      <c r="N13" s="112">
        <v>290</v>
      </c>
      <c r="O13" s="113">
        <v>2440</v>
      </c>
      <c r="P13" s="35"/>
      <c r="Q13" s="35"/>
      <c r="R13" s="39"/>
    </row>
    <row r="14" spans="1:18" x14ac:dyDescent="0.3">
      <c r="A14" s="111">
        <v>46241</v>
      </c>
      <c r="B14" s="112" t="s">
        <v>205</v>
      </c>
      <c r="C14" s="112">
        <v>229</v>
      </c>
      <c r="D14" s="112">
        <v>229</v>
      </c>
      <c r="E14" s="112">
        <v>231</v>
      </c>
      <c r="F14" s="112">
        <v>5.67</v>
      </c>
      <c r="G14" s="112">
        <v>8.0399999999999991</v>
      </c>
      <c r="H14" s="112">
        <v>4.22</v>
      </c>
      <c r="I14" s="113">
        <v>0.76080000000000003</v>
      </c>
      <c r="J14" s="112">
        <v>0.7782</v>
      </c>
      <c r="K14" s="112">
        <v>0</v>
      </c>
      <c r="L14" s="113">
        <v>800</v>
      </c>
      <c r="M14" s="112">
        <v>1080</v>
      </c>
      <c r="N14" s="112">
        <v>200</v>
      </c>
      <c r="O14" s="113">
        <v>2080</v>
      </c>
      <c r="P14" s="31"/>
      <c r="Q14" s="31"/>
      <c r="R14" s="38"/>
    </row>
    <row r="15" spans="1:18" x14ac:dyDescent="0.3">
      <c r="A15" s="111">
        <v>46241</v>
      </c>
      <c r="B15" s="112" t="s">
        <v>206</v>
      </c>
      <c r="C15" s="112">
        <v>229</v>
      </c>
      <c r="D15" s="112">
        <v>229</v>
      </c>
      <c r="E15" s="112">
        <v>231</v>
      </c>
      <c r="F15" s="112">
        <v>6.23</v>
      </c>
      <c r="G15" s="112">
        <v>9.3800000000000008</v>
      </c>
      <c r="H15" s="112">
        <v>5.54</v>
      </c>
      <c r="I15" s="113">
        <v>0.49120000000000003</v>
      </c>
      <c r="J15" s="112">
        <v>0.68789999999999996</v>
      </c>
      <c r="K15" s="112">
        <v>0</v>
      </c>
      <c r="L15" s="113">
        <v>570</v>
      </c>
      <c r="M15" s="112">
        <v>1240</v>
      </c>
      <c r="N15" s="112">
        <v>400</v>
      </c>
      <c r="O15" s="113">
        <v>2210</v>
      </c>
      <c r="P15" s="35"/>
      <c r="Q15" s="35"/>
      <c r="R15" s="39"/>
    </row>
    <row r="16" spans="1:18" x14ac:dyDescent="0.3">
      <c r="A16" s="111">
        <v>46241</v>
      </c>
      <c r="B16" s="112" t="s">
        <v>207</v>
      </c>
      <c r="C16" s="112">
        <v>228</v>
      </c>
      <c r="D16" s="112">
        <v>229</v>
      </c>
      <c r="E16" s="112">
        <v>230</v>
      </c>
      <c r="F16" s="112">
        <v>6.2</v>
      </c>
      <c r="G16" s="112">
        <v>8.64</v>
      </c>
      <c r="H16" s="112">
        <v>5.43</v>
      </c>
      <c r="I16" s="113">
        <v>0.46779999999999999</v>
      </c>
      <c r="J16" s="112">
        <v>0.65090000000000003</v>
      </c>
      <c r="K16" s="112">
        <v>0</v>
      </c>
      <c r="L16" s="113">
        <v>550</v>
      </c>
      <c r="M16" s="112">
        <v>1100</v>
      </c>
      <c r="N16" s="112">
        <v>340</v>
      </c>
      <c r="O16" s="113">
        <v>1990</v>
      </c>
      <c r="P16" s="31"/>
      <c r="Q16" s="31"/>
      <c r="R16" s="38"/>
    </row>
    <row r="17" spans="1:18" x14ac:dyDescent="0.3">
      <c r="A17" s="111">
        <v>46241</v>
      </c>
      <c r="B17" s="112" t="s">
        <v>208</v>
      </c>
      <c r="C17" s="112">
        <v>228</v>
      </c>
      <c r="D17" s="112">
        <v>228</v>
      </c>
      <c r="E17" s="112">
        <v>230</v>
      </c>
      <c r="F17" s="112">
        <v>5.99</v>
      </c>
      <c r="G17" s="112">
        <v>7.94</v>
      </c>
      <c r="H17" s="112">
        <v>4.9800000000000004</v>
      </c>
      <c r="I17" s="113">
        <v>0</v>
      </c>
      <c r="J17" s="112">
        <v>0.73119999999999996</v>
      </c>
      <c r="K17" s="112">
        <v>0</v>
      </c>
      <c r="L17" s="113">
        <v>550</v>
      </c>
      <c r="M17" s="112">
        <v>1020</v>
      </c>
      <c r="N17" s="112">
        <v>380</v>
      </c>
      <c r="O17" s="113">
        <v>1950</v>
      </c>
      <c r="P17" s="35"/>
      <c r="Q17" s="35"/>
      <c r="R17" s="39"/>
    </row>
    <row r="18" spans="1:18" x14ac:dyDescent="0.3">
      <c r="A18" s="111">
        <v>46241</v>
      </c>
      <c r="B18" s="112" t="s">
        <v>209</v>
      </c>
      <c r="C18" s="112">
        <v>227</v>
      </c>
      <c r="D18" s="112">
        <v>227</v>
      </c>
      <c r="E18" s="112">
        <v>229</v>
      </c>
      <c r="F18" s="112">
        <v>6.17</v>
      </c>
      <c r="G18" s="112">
        <v>10.1</v>
      </c>
      <c r="H18" s="112">
        <v>5.62</v>
      </c>
      <c r="I18" s="113">
        <v>0.5605</v>
      </c>
      <c r="J18" s="112">
        <v>0.72550000000000003</v>
      </c>
      <c r="K18" s="112">
        <v>0</v>
      </c>
      <c r="L18" s="113">
        <v>550</v>
      </c>
      <c r="M18" s="112">
        <v>1320</v>
      </c>
      <c r="N18" s="112">
        <v>580</v>
      </c>
      <c r="O18" s="113">
        <v>2450</v>
      </c>
      <c r="P18" s="31"/>
      <c r="Q18" s="31"/>
      <c r="R18" s="38"/>
    </row>
    <row r="19" spans="1:18" x14ac:dyDescent="0.3">
      <c r="A19" s="111">
        <v>46241</v>
      </c>
      <c r="B19" s="112" t="s">
        <v>210</v>
      </c>
      <c r="C19" s="112">
        <v>227</v>
      </c>
      <c r="D19" s="112">
        <v>227</v>
      </c>
      <c r="E19" s="112">
        <v>228</v>
      </c>
      <c r="F19" s="112">
        <v>5.9</v>
      </c>
      <c r="G19" s="112">
        <v>11.2</v>
      </c>
      <c r="H19" s="112">
        <v>7.33</v>
      </c>
      <c r="I19" s="113">
        <v>0.61799999999999999</v>
      </c>
      <c r="J19" s="112">
        <v>0.78449999999999998</v>
      </c>
      <c r="K19" s="112">
        <v>0.91749999999999998</v>
      </c>
      <c r="L19" s="113">
        <v>610</v>
      </c>
      <c r="M19" s="112">
        <v>1540</v>
      </c>
      <c r="N19" s="112">
        <v>1360</v>
      </c>
      <c r="O19" s="113">
        <v>3510</v>
      </c>
      <c r="P19" s="35"/>
      <c r="Q19" s="35"/>
      <c r="R19" s="39"/>
    </row>
    <row r="20" spans="1:18" x14ac:dyDescent="0.3">
      <c r="A20" s="111">
        <v>46241</v>
      </c>
      <c r="B20" s="112" t="s">
        <v>211</v>
      </c>
      <c r="C20" s="112">
        <v>226</v>
      </c>
      <c r="D20" s="112">
        <v>227</v>
      </c>
      <c r="E20" s="112">
        <v>228</v>
      </c>
      <c r="F20" s="112">
        <v>5.32</v>
      </c>
      <c r="G20" s="112">
        <v>7.26</v>
      </c>
      <c r="H20" s="112">
        <v>6.68</v>
      </c>
      <c r="I20" s="113">
        <v>0.76300000000000001</v>
      </c>
      <c r="J20" s="112">
        <v>0.81640000000000001</v>
      </c>
      <c r="K20" s="112">
        <v>0.96579999999999999</v>
      </c>
      <c r="L20" s="113">
        <v>680</v>
      </c>
      <c r="M20" s="112">
        <v>930</v>
      </c>
      <c r="N20" s="112">
        <v>1280</v>
      </c>
      <c r="O20" s="113">
        <v>2890</v>
      </c>
      <c r="P20" s="31"/>
      <c r="Q20" s="31"/>
      <c r="R20" s="38"/>
    </row>
    <row r="21" spans="1:18" x14ac:dyDescent="0.3">
      <c r="A21" s="111">
        <v>46241</v>
      </c>
      <c r="B21" s="112" t="s">
        <v>212</v>
      </c>
      <c r="C21" s="112">
        <v>227</v>
      </c>
      <c r="D21" s="112">
        <v>227</v>
      </c>
      <c r="E21" s="112">
        <v>229</v>
      </c>
      <c r="F21" s="112">
        <v>3.91</v>
      </c>
      <c r="G21" s="112">
        <v>0.88</v>
      </c>
      <c r="H21" s="112">
        <v>2.59</v>
      </c>
      <c r="I21" s="113">
        <v>0.98280000000000001</v>
      </c>
      <c r="J21" s="112">
        <v>0.99229999999999996</v>
      </c>
      <c r="K21" s="112">
        <v>0</v>
      </c>
      <c r="L21" s="113">
        <v>870</v>
      </c>
      <c r="M21" s="112">
        <v>440</v>
      </c>
      <c r="N21" s="112">
        <v>290</v>
      </c>
      <c r="O21" s="113">
        <v>1600</v>
      </c>
      <c r="P21" s="35"/>
      <c r="Q21" s="35"/>
      <c r="R21" s="39"/>
    </row>
    <row r="22" spans="1:18" x14ac:dyDescent="0.3">
      <c r="A22" s="111">
        <v>46241</v>
      </c>
      <c r="B22" s="112" t="s">
        <v>213</v>
      </c>
      <c r="C22" s="112">
        <v>228</v>
      </c>
      <c r="D22" s="112">
        <v>228</v>
      </c>
      <c r="E22" s="112">
        <v>229</v>
      </c>
      <c r="F22" s="112">
        <v>4.3600000000000003</v>
      </c>
      <c r="G22" s="112">
        <v>0</v>
      </c>
      <c r="H22" s="112">
        <v>0</v>
      </c>
      <c r="I22" s="113">
        <v>0.98929999999999996</v>
      </c>
      <c r="J22" s="112">
        <v>1</v>
      </c>
      <c r="K22" s="112">
        <v>0</v>
      </c>
      <c r="L22" s="113">
        <v>980</v>
      </c>
      <c r="M22" s="112">
        <v>360</v>
      </c>
      <c r="N22" s="112">
        <v>0</v>
      </c>
      <c r="O22" s="113">
        <v>1340</v>
      </c>
      <c r="P22" s="31"/>
      <c r="Q22" s="31"/>
      <c r="R22" s="38"/>
    </row>
    <row r="23" spans="1:18" x14ac:dyDescent="0.3">
      <c r="A23" s="111">
        <v>46241</v>
      </c>
      <c r="B23" s="112" t="s">
        <v>214</v>
      </c>
      <c r="C23" s="112">
        <v>228</v>
      </c>
      <c r="D23" s="112">
        <v>228</v>
      </c>
      <c r="E23" s="112">
        <v>230</v>
      </c>
      <c r="F23" s="112">
        <v>4.4000000000000004</v>
      </c>
      <c r="G23" s="112">
        <v>0</v>
      </c>
      <c r="H23" s="112">
        <v>0</v>
      </c>
      <c r="I23" s="113">
        <v>0.99070000000000003</v>
      </c>
      <c r="J23" s="112">
        <v>1</v>
      </c>
      <c r="K23" s="112">
        <v>0</v>
      </c>
      <c r="L23" s="113">
        <v>990</v>
      </c>
      <c r="M23" s="112">
        <v>370</v>
      </c>
      <c r="N23" s="112">
        <v>0</v>
      </c>
      <c r="O23" s="113">
        <v>1360</v>
      </c>
      <c r="P23" s="35"/>
      <c r="Q23" s="35"/>
      <c r="R23" s="39"/>
    </row>
    <row r="24" spans="1:18" x14ac:dyDescent="0.3">
      <c r="A24" s="111">
        <v>46241</v>
      </c>
      <c r="B24" s="112" t="s">
        <v>215</v>
      </c>
      <c r="C24" s="112">
        <v>229</v>
      </c>
      <c r="D24" s="112">
        <v>229</v>
      </c>
      <c r="E24" s="112">
        <v>231</v>
      </c>
      <c r="F24" s="112">
        <v>4.45</v>
      </c>
      <c r="G24" s="112">
        <v>0</v>
      </c>
      <c r="H24" s="112">
        <v>0</v>
      </c>
      <c r="I24" s="113">
        <v>0.99250000000000005</v>
      </c>
      <c r="J24" s="112">
        <v>1</v>
      </c>
      <c r="K24" s="112">
        <v>0</v>
      </c>
      <c r="L24" s="113">
        <v>1010</v>
      </c>
      <c r="M24" s="112">
        <v>370</v>
      </c>
      <c r="N24" s="112">
        <v>0</v>
      </c>
      <c r="O24" s="113">
        <v>1380</v>
      </c>
      <c r="P24" s="31"/>
      <c r="Q24" s="31"/>
      <c r="R24" s="38"/>
    </row>
    <row r="25" spans="1:18" x14ac:dyDescent="0.3">
      <c r="A25" s="111">
        <v>46241</v>
      </c>
      <c r="B25" s="112" t="s">
        <v>216</v>
      </c>
      <c r="C25" s="112">
        <v>232</v>
      </c>
      <c r="D25" s="112">
        <v>232</v>
      </c>
      <c r="E25" s="112">
        <v>233</v>
      </c>
      <c r="F25" s="112">
        <v>4.5199999999999996</v>
      </c>
      <c r="G25" s="112">
        <v>0</v>
      </c>
      <c r="H25" s="112">
        <v>0</v>
      </c>
      <c r="I25" s="113">
        <v>0.99360000000000004</v>
      </c>
      <c r="J25" s="112">
        <v>1</v>
      </c>
      <c r="K25" s="112">
        <v>0</v>
      </c>
      <c r="L25" s="113">
        <v>1040</v>
      </c>
      <c r="M25" s="112">
        <v>380</v>
      </c>
      <c r="N25" s="112">
        <v>0</v>
      </c>
      <c r="O25" s="113">
        <v>1420</v>
      </c>
      <c r="P25" s="35"/>
      <c r="Q25" s="35"/>
      <c r="R25" s="39"/>
    </row>
    <row r="26" spans="1:18" x14ac:dyDescent="0.3">
      <c r="A26" s="111">
        <v>46241</v>
      </c>
      <c r="B26" s="112" t="s">
        <v>217</v>
      </c>
      <c r="C26" s="112">
        <v>233</v>
      </c>
      <c r="D26" s="112">
        <v>234</v>
      </c>
      <c r="E26" s="112">
        <v>235</v>
      </c>
      <c r="F26" s="112">
        <v>4.5599999999999996</v>
      </c>
      <c r="G26" s="112">
        <v>0</v>
      </c>
      <c r="H26" s="112">
        <v>0</v>
      </c>
      <c r="I26" s="113">
        <v>0.99439999999999995</v>
      </c>
      <c r="J26" s="112">
        <v>1</v>
      </c>
      <c r="K26" s="112">
        <v>0</v>
      </c>
      <c r="L26" s="113">
        <v>1060</v>
      </c>
      <c r="M26" s="112">
        <v>380</v>
      </c>
      <c r="N26" s="112">
        <v>0</v>
      </c>
      <c r="O26" s="113">
        <v>1440</v>
      </c>
      <c r="P26" s="31"/>
      <c r="Q26" s="31"/>
      <c r="R26" s="38"/>
    </row>
    <row r="27" spans="1:18" x14ac:dyDescent="0.3">
      <c r="A27" s="111">
        <v>46241</v>
      </c>
      <c r="B27" s="112" t="s">
        <v>218</v>
      </c>
      <c r="C27" s="112">
        <v>231</v>
      </c>
      <c r="D27" s="112">
        <v>231</v>
      </c>
      <c r="E27" s="112">
        <v>232</v>
      </c>
      <c r="F27" s="112">
        <v>4.51</v>
      </c>
      <c r="G27" s="112">
        <v>0</v>
      </c>
      <c r="H27" s="112">
        <v>0</v>
      </c>
      <c r="I27" s="113">
        <v>0.995</v>
      </c>
      <c r="J27" s="112">
        <v>1</v>
      </c>
      <c r="K27" s="112">
        <v>0</v>
      </c>
      <c r="L27" s="113">
        <v>1040</v>
      </c>
      <c r="M27" s="112">
        <v>380</v>
      </c>
      <c r="N27" s="112">
        <v>0</v>
      </c>
      <c r="O27" s="113">
        <v>1420</v>
      </c>
      <c r="P27" s="35"/>
      <c r="Q27" s="35"/>
      <c r="R27" s="39"/>
    </row>
    <row r="28" spans="1:18" x14ac:dyDescent="0.3">
      <c r="A28" s="111">
        <v>46241</v>
      </c>
      <c r="B28" s="112" t="s">
        <v>219</v>
      </c>
      <c r="C28" s="112">
        <v>232</v>
      </c>
      <c r="D28" s="112">
        <v>232</v>
      </c>
      <c r="E28" s="112">
        <v>234</v>
      </c>
      <c r="F28" s="112">
        <v>4.5599999999999996</v>
      </c>
      <c r="G28" s="112">
        <v>0</v>
      </c>
      <c r="H28" s="112">
        <v>0</v>
      </c>
      <c r="I28" s="113">
        <v>0.99570000000000003</v>
      </c>
      <c r="J28" s="112">
        <v>1</v>
      </c>
      <c r="K28" s="112">
        <v>0</v>
      </c>
      <c r="L28" s="113">
        <v>1050</v>
      </c>
      <c r="M28" s="112">
        <v>390</v>
      </c>
      <c r="N28" s="112">
        <v>0</v>
      </c>
      <c r="O28" s="113">
        <v>1440</v>
      </c>
      <c r="P28" s="31"/>
      <c r="Q28" s="31"/>
      <c r="R28" s="38"/>
    </row>
    <row r="29" spans="1:18" x14ac:dyDescent="0.3">
      <c r="A29" s="111">
        <v>46241</v>
      </c>
      <c r="B29" s="112" t="s">
        <v>220</v>
      </c>
      <c r="C29" s="112">
        <v>234</v>
      </c>
      <c r="D29" s="112">
        <v>234</v>
      </c>
      <c r="E29" s="112">
        <v>235</v>
      </c>
      <c r="F29" s="112">
        <v>4.5999999999999996</v>
      </c>
      <c r="G29" s="112">
        <v>0</v>
      </c>
      <c r="H29" s="112">
        <v>0</v>
      </c>
      <c r="I29" s="113">
        <v>0.99609999999999999</v>
      </c>
      <c r="J29" s="112">
        <v>1</v>
      </c>
      <c r="K29" s="112">
        <v>0</v>
      </c>
      <c r="L29" s="113">
        <v>1070</v>
      </c>
      <c r="M29" s="112">
        <v>390</v>
      </c>
      <c r="N29" s="112">
        <v>0</v>
      </c>
      <c r="O29" s="113">
        <v>1460</v>
      </c>
      <c r="P29" s="35"/>
      <c r="Q29" s="35"/>
      <c r="R29" s="39"/>
    </row>
    <row r="30" spans="1:18" x14ac:dyDescent="0.3">
      <c r="A30" s="111">
        <v>46241</v>
      </c>
      <c r="B30" s="112" t="s">
        <v>221</v>
      </c>
      <c r="C30" s="112">
        <v>233</v>
      </c>
      <c r="D30" s="112">
        <v>233</v>
      </c>
      <c r="E30" s="112">
        <v>234</v>
      </c>
      <c r="F30" s="112">
        <v>4.59</v>
      </c>
      <c r="G30" s="112">
        <v>0</v>
      </c>
      <c r="H30" s="112">
        <v>0</v>
      </c>
      <c r="I30" s="113">
        <v>0.99650000000000005</v>
      </c>
      <c r="J30" s="112">
        <v>1</v>
      </c>
      <c r="K30" s="112">
        <v>0</v>
      </c>
      <c r="L30" s="113">
        <v>1060</v>
      </c>
      <c r="M30" s="112">
        <v>390</v>
      </c>
      <c r="N30" s="112">
        <v>0</v>
      </c>
      <c r="O30" s="113">
        <v>1450</v>
      </c>
      <c r="P30" s="31"/>
      <c r="Q30" s="31"/>
      <c r="R30" s="38"/>
    </row>
    <row r="31" spans="1:18" x14ac:dyDescent="0.3">
      <c r="A31" s="111">
        <v>46241</v>
      </c>
      <c r="B31" s="112" t="s">
        <v>222</v>
      </c>
      <c r="C31" s="112">
        <v>233</v>
      </c>
      <c r="D31" s="112">
        <v>234</v>
      </c>
      <c r="E31" s="112">
        <v>235</v>
      </c>
      <c r="F31" s="112">
        <v>4.59</v>
      </c>
      <c r="G31" s="112">
        <v>0</v>
      </c>
      <c r="H31" s="112">
        <v>0</v>
      </c>
      <c r="I31" s="113">
        <v>0.99670000000000003</v>
      </c>
      <c r="J31" s="112">
        <v>1</v>
      </c>
      <c r="K31" s="112">
        <v>0</v>
      </c>
      <c r="L31" s="113">
        <v>1070</v>
      </c>
      <c r="M31" s="112">
        <v>390</v>
      </c>
      <c r="N31" s="112">
        <v>0</v>
      </c>
      <c r="O31" s="113">
        <v>1460</v>
      </c>
      <c r="P31" s="35"/>
      <c r="Q31" s="35"/>
      <c r="R31" s="39"/>
    </row>
    <row r="32" spans="1:18" x14ac:dyDescent="0.3">
      <c r="A32" s="111">
        <v>46241</v>
      </c>
      <c r="B32" s="112" t="s">
        <v>223</v>
      </c>
      <c r="C32" s="112">
        <v>235</v>
      </c>
      <c r="D32" s="112">
        <v>235</v>
      </c>
      <c r="E32" s="112">
        <v>236</v>
      </c>
      <c r="F32" s="112">
        <v>4.5999999999999996</v>
      </c>
      <c r="G32" s="112">
        <v>0</v>
      </c>
      <c r="H32" s="112">
        <v>0</v>
      </c>
      <c r="I32" s="113">
        <v>0.99660000000000004</v>
      </c>
      <c r="J32" s="112">
        <v>1</v>
      </c>
      <c r="K32" s="112">
        <v>0</v>
      </c>
      <c r="L32" s="113">
        <v>1070</v>
      </c>
      <c r="M32" s="112">
        <v>400</v>
      </c>
      <c r="N32" s="112">
        <v>0</v>
      </c>
      <c r="O32" s="113">
        <v>1470</v>
      </c>
      <c r="P32" s="31"/>
      <c r="Q32" s="31"/>
      <c r="R32" s="38"/>
    </row>
    <row r="33" spans="1:18" x14ac:dyDescent="0.3">
      <c r="A33" s="111">
        <v>46241</v>
      </c>
      <c r="B33" s="112" t="s">
        <v>224</v>
      </c>
      <c r="C33" s="112">
        <v>234</v>
      </c>
      <c r="D33" s="112">
        <v>234</v>
      </c>
      <c r="E33" s="112">
        <v>235</v>
      </c>
      <c r="F33" s="112">
        <v>4.59</v>
      </c>
      <c r="G33" s="112">
        <v>0</v>
      </c>
      <c r="H33" s="112">
        <v>0</v>
      </c>
      <c r="I33" s="113">
        <v>0.99670000000000003</v>
      </c>
      <c r="J33" s="112">
        <v>1</v>
      </c>
      <c r="K33" s="112">
        <v>0</v>
      </c>
      <c r="L33" s="113">
        <v>1070</v>
      </c>
      <c r="M33" s="112">
        <v>390</v>
      </c>
      <c r="N33" s="112">
        <v>0</v>
      </c>
      <c r="O33" s="113">
        <v>1460</v>
      </c>
      <c r="P33" s="35"/>
      <c r="Q33" s="35"/>
      <c r="R33" s="39"/>
    </row>
    <row r="34" spans="1:18" x14ac:dyDescent="0.3">
      <c r="A34" s="111">
        <v>46241</v>
      </c>
      <c r="B34" s="112" t="s">
        <v>225</v>
      </c>
      <c r="C34" s="112">
        <v>233</v>
      </c>
      <c r="D34" s="112">
        <v>233</v>
      </c>
      <c r="E34" s="112">
        <v>234</v>
      </c>
      <c r="F34" s="112">
        <v>4.57</v>
      </c>
      <c r="G34" s="112">
        <v>0</v>
      </c>
      <c r="H34" s="112">
        <v>0</v>
      </c>
      <c r="I34" s="113">
        <v>0.99690000000000001</v>
      </c>
      <c r="J34" s="112">
        <v>1</v>
      </c>
      <c r="K34" s="112">
        <v>0</v>
      </c>
      <c r="L34" s="113">
        <v>1060</v>
      </c>
      <c r="M34" s="112">
        <v>390</v>
      </c>
      <c r="N34" s="112">
        <v>0</v>
      </c>
      <c r="O34" s="113">
        <v>1450</v>
      </c>
      <c r="P34" s="31"/>
      <c r="Q34" s="31"/>
      <c r="R34" s="38"/>
    </row>
    <row r="35" spans="1:18" x14ac:dyDescent="0.3">
      <c r="A35" s="111">
        <v>46241</v>
      </c>
      <c r="B35" s="112" t="s">
        <v>226</v>
      </c>
      <c r="C35" s="112">
        <v>234</v>
      </c>
      <c r="D35" s="112">
        <v>234</v>
      </c>
      <c r="E35" s="112">
        <v>236</v>
      </c>
      <c r="F35" s="112">
        <v>4.5999999999999996</v>
      </c>
      <c r="G35" s="112">
        <v>0</v>
      </c>
      <c r="H35" s="112">
        <v>0</v>
      </c>
      <c r="I35" s="113">
        <v>0.99719999999999998</v>
      </c>
      <c r="J35" s="112">
        <v>1</v>
      </c>
      <c r="K35" s="112">
        <v>0</v>
      </c>
      <c r="L35" s="113">
        <v>1070</v>
      </c>
      <c r="M35" s="112">
        <v>400</v>
      </c>
      <c r="N35" s="112">
        <v>0</v>
      </c>
      <c r="O35" s="113">
        <v>1470</v>
      </c>
      <c r="P35" s="35"/>
      <c r="Q35" s="35"/>
      <c r="R35" s="39"/>
    </row>
    <row r="36" spans="1:18" x14ac:dyDescent="0.3">
      <c r="A36" s="111">
        <v>46241</v>
      </c>
      <c r="B36" s="112" t="s">
        <v>227</v>
      </c>
      <c r="C36" s="112">
        <v>233</v>
      </c>
      <c r="D36" s="112">
        <v>233</v>
      </c>
      <c r="E36" s="112">
        <v>234</v>
      </c>
      <c r="F36" s="112">
        <v>4.5599999999999996</v>
      </c>
      <c r="G36" s="112">
        <v>0</v>
      </c>
      <c r="H36" s="112">
        <v>0</v>
      </c>
      <c r="I36" s="113">
        <v>0.99719999999999998</v>
      </c>
      <c r="J36" s="112">
        <v>1</v>
      </c>
      <c r="K36" s="112">
        <v>0</v>
      </c>
      <c r="L36" s="113">
        <v>1060</v>
      </c>
      <c r="M36" s="112">
        <v>390</v>
      </c>
      <c r="N36" s="112">
        <v>0</v>
      </c>
      <c r="O36" s="113">
        <v>1450</v>
      </c>
      <c r="P36" s="31"/>
      <c r="Q36" s="31"/>
      <c r="R36" s="38"/>
    </row>
    <row r="37" spans="1:18" x14ac:dyDescent="0.3">
      <c r="A37" s="111">
        <v>46241</v>
      </c>
      <c r="B37" s="112" t="s">
        <v>228</v>
      </c>
      <c r="C37" s="112">
        <v>233</v>
      </c>
      <c r="D37" s="112">
        <v>233</v>
      </c>
      <c r="E37" s="112">
        <v>234</v>
      </c>
      <c r="F37" s="112">
        <v>4.57</v>
      </c>
      <c r="G37" s="112">
        <v>0</v>
      </c>
      <c r="H37" s="112">
        <v>0</v>
      </c>
      <c r="I37" s="113">
        <v>0.99729999999999996</v>
      </c>
      <c r="J37" s="112">
        <v>1</v>
      </c>
      <c r="K37" s="112">
        <v>0</v>
      </c>
      <c r="L37" s="113">
        <v>1060</v>
      </c>
      <c r="M37" s="112">
        <v>400</v>
      </c>
      <c r="N37" s="112">
        <v>0</v>
      </c>
      <c r="O37" s="113">
        <v>1460</v>
      </c>
      <c r="P37" s="35"/>
      <c r="Q37" s="35"/>
      <c r="R37" s="39"/>
    </row>
    <row r="38" spans="1:18" x14ac:dyDescent="0.3">
      <c r="A38" s="111">
        <v>46241</v>
      </c>
      <c r="B38" s="112" t="s">
        <v>229</v>
      </c>
      <c r="C38" s="112">
        <v>233</v>
      </c>
      <c r="D38" s="112">
        <v>233</v>
      </c>
      <c r="E38" s="112">
        <v>234</v>
      </c>
      <c r="F38" s="112">
        <v>4.5599999999999996</v>
      </c>
      <c r="G38" s="112">
        <v>0</v>
      </c>
      <c r="H38" s="112">
        <v>0</v>
      </c>
      <c r="I38" s="113">
        <v>0.99729999999999996</v>
      </c>
      <c r="J38" s="112">
        <v>1</v>
      </c>
      <c r="K38" s="112">
        <v>0</v>
      </c>
      <c r="L38" s="113">
        <v>1060</v>
      </c>
      <c r="M38" s="112">
        <v>400</v>
      </c>
      <c r="N38" s="112">
        <v>0</v>
      </c>
      <c r="O38" s="113">
        <v>1460</v>
      </c>
      <c r="P38" s="31"/>
      <c r="Q38" s="31"/>
      <c r="R38" s="38"/>
    </row>
    <row r="39" spans="1:18" x14ac:dyDescent="0.3">
      <c r="A39" s="111">
        <v>46241</v>
      </c>
      <c r="B39" s="112" t="s">
        <v>230</v>
      </c>
      <c r="C39" s="112">
        <v>231</v>
      </c>
      <c r="D39" s="112">
        <v>231</v>
      </c>
      <c r="E39" s="112">
        <v>232</v>
      </c>
      <c r="F39" s="112">
        <v>4.53</v>
      </c>
      <c r="G39" s="112">
        <v>0</v>
      </c>
      <c r="H39" s="112">
        <v>0</v>
      </c>
      <c r="I39" s="113">
        <v>0.99739999999999995</v>
      </c>
      <c r="J39" s="112">
        <v>1</v>
      </c>
      <c r="K39" s="112">
        <v>0</v>
      </c>
      <c r="L39" s="113">
        <v>1040</v>
      </c>
      <c r="M39" s="112">
        <v>390</v>
      </c>
      <c r="N39" s="112">
        <v>0</v>
      </c>
      <c r="O39" s="113">
        <v>1430</v>
      </c>
      <c r="P39" s="35"/>
      <c r="Q39" s="35"/>
      <c r="R39" s="39"/>
    </row>
    <row r="40" spans="1:18" x14ac:dyDescent="0.3">
      <c r="A40" s="111">
        <v>46272</v>
      </c>
      <c r="B40" s="112" t="s">
        <v>231</v>
      </c>
      <c r="C40" s="112">
        <v>232</v>
      </c>
      <c r="D40" s="112">
        <v>232</v>
      </c>
      <c r="E40" s="112">
        <v>233</v>
      </c>
      <c r="F40" s="112">
        <v>4.54</v>
      </c>
      <c r="G40" s="112">
        <v>0</v>
      </c>
      <c r="H40" s="112">
        <v>0</v>
      </c>
      <c r="I40" s="113">
        <v>0.99739999999999995</v>
      </c>
      <c r="J40" s="112">
        <v>1</v>
      </c>
      <c r="K40" s="112">
        <v>0</v>
      </c>
      <c r="L40" s="113">
        <v>1050</v>
      </c>
      <c r="M40" s="112">
        <v>390</v>
      </c>
      <c r="N40" s="112">
        <v>0</v>
      </c>
      <c r="O40" s="113">
        <v>1440</v>
      </c>
      <c r="P40" s="31"/>
      <c r="Q40" s="31"/>
      <c r="R40" s="38"/>
    </row>
    <row r="41" spans="1:18" x14ac:dyDescent="0.3">
      <c r="A41" s="111">
        <v>46272</v>
      </c>
      <c r="B41" s="112" t="s">
        <v>232</v>
      </c>
      <c r="C41" s="112">
        <v>232</v>
      </c>
      <c r="D41" s="112">
        <v>232</v>
      </c>
      <c r="E41" s="112">
        <v>233</v>
      </c>
      <c r="F41" s="112">
        <v>4.54</v>
      </c>
      <c r="G41" s="112">
        <v>0</v>
      </c>
      <c r="H41" s="112">
        <v>0</v>
      </c>
      <c r="I41" s="113">
        <v>0.99739999999999995</v>
      </c>
      <c r="J41" s="112">
        <v>1</v>
      </c>
      <c r="K41" s="112">
        <v>0</v>
      </c>
      <c r="L41" s="113">
        <v>1050</v>
      </c>
      <c r="M41" s="112">
        <v>400</v>
      </c>
      <c r="N41" s="112">
        <v>0</v>
      </c>
      <c r="O41" s="113">
        <v>1450</v>
      </c>
      <c r="P41" s="35"/>
      <c r="Q41" s="35"/>
      <c r="R41" s="39"/>
    </row>
    <row r="42" spans="1:18" x14ac:dyDescent="0.3">
      <c r="A42" s="111">
        <v>46272</v>
      </c>
      <c r="B42" s="112" t="s">
        <v>233</v>
      </c>
      <c r="C42" s="112">
        <v>232</v>
      </c>
      <c r="D42" s="112">
        <v>233</v>
      </c>
      <c r="E42" s="112">
        <v>234</v>
      </c>
      <c r="F42" s="112">
        <v>4.55</v>
      </c>
      <c r="G42" s="112">
        <v>0</v>
      </c>
      <c r="H42" s="112">
        <v>0</v>
      </c>
      <c r="I42" s="113">
        <v>0.99750000000000005</v>
      </c>
      <c r="J42" s="112">
        <v>1</v>
      </c>
      <c r="K42" s="112">
        <v>0</v>
      </c>
      <c r="L42" s="113">
        <v>1060</v>
      </c>
      <c r="M42" s="112">
        <v>400</v>
      </c>
      <c r="N42" s="112">
        <v>0</v>
      </c>
      <c r="O42" s="113">
        <v>1460</v>
      </c>
      <c r="P42" s="31"/>
      <c r="Q42" s="31"/>
      <c r="R42" s="38"/>
    </row>
    <row r="43" spans="1:18" x14ac:dyDescent="0.3">
      <c r="A43" s="111">
        <v>46272</v>
      </c>
      <c r="B43" s="112" t="s">
        <v>234</v>
      </c>
      <c r="C43" s="112">
        <v>233</v>
      </c>
      <c r="D43" s="112">
        <v>233</v>
      </c>
      <c r="E43" s="112">
        <v>234</v>
      </c>
      <c r="F43" s="112">
        <v>4.57</v>
      </c>
      <c r="G43" s="112">
        <v>0</v>
      </c>
      <c r="H43" s="112">
        <v>0</v>
      </c>
      <c r="I43" s="113">
        <v>0.99750000000000005</v>
      </c>
      <c r="J43" s="112">
        <v>1</v>
      </c>
      <c r="K43" s="112">
        <v>0</v>
      </c>
      <c r="L43" s="113">
        <v>1060</v>
      </c>
      <c r="M43" s="112">
        <v>400</v>
      </c>
      <c r="N43" s="112">
        <v>0</v>
      </c>
      <c r="O43" s="113">
        <v>1460</v>
      </c>
      <c r="P43" s="35"/>
      <c r="Q43" s="35"/>
      <c r="R43" s="39"/>
    </row>
    <row r="44" spans="1:18" x14ac:dyDescent="0.3">
      <c r="A44" s="111">
        <v>46272</v>
      </c>
      <c r="B44" s="112" t="s">
        <v>235</v>
      </c>
      <c r="C44" s="112">
        <v>234</v>
      </c>
      <c r="D44" s="112">
        <v>234</v>
      </c>
      <c r="E44" s="112">
        <v>235</v>
      </c>
      <c r="F44" s="112">
        <v>4.58</v>
      </c>
      <c r="G44" s="112">
        <v>0</v>
      </c>
      <c r="H44" s="112">
        <v>0</v>
      </c>
      <c r="I44" s="113">
        <v>1</v>
      </c>
      <c r="J44" s="112">
        <v>1</v>
      </c>
      <c r="K44" s="112">
        <v>0</v>
      </c>
      <c r="L44" s="113">
        <v>1070</v>
      </c>
      <c r="M44" s="112">
        <v>400</v>
      </c>
      <c r="N44" s="112">
        <v>0</v>
      </c>
      <c r="O44" s="113">
        <v>1470</v>
      </c>
      <c r="P44" s="31"/>
      <c r="Q44" s="31"/>
      <c r="R44" s="38"/>
    </row>
    <row r="45" spans="1:18" x14ac:dyDescent="0.3">
      <c r="A45" s="111">
        <v>46272</v>
      </c>
      <c r="B45" s="112" t="s">
        <v>236</v>
      </c>
      <c r="C45" s="112">
        <v>233</v>
      </c>
      <c r="D45" s="112">
        <v>233</v>
      </c>
      <c r="E45" s="112">
        <v>233</v>
      </c>
      <c r="F45" s="112">
        <v>8.7799999999999994</v>
      </c>
      <c r="G45" s="112">
        <v>5.41</v>
      </c>
      <c r="H45" s="112">
        <v>3.99</v>
      </c>
      <c r="I45" s="113">
        <v>0</v>
      </c>
      <c r="J45" s="112">
        <v>0</v>
      </c>
      <c r="K45" s="112">
        <v>0</v>
      </c>
      <c r="L45" s="113">
        <v>1060</v>
      </c>
      <c r="M45" s="112">
        <v>400</v>
      </c>
      <c r="N45" s="112">
        <v>0</v>
      </c>
      <c r="O45" s="113">
        <v>1460</v>
      </c>
      <c r="P45" s="35"/>
      <c r="Q45" s="35"/>
      <c r="R45" s="39"/>
    </row>
    <row r="46" spans="1:18" x14ac:dyDescent="0.3">
      <c r="A46" s="111">
        <v>46272</v>
      </c>
      <c r="B46" s="112" t="s">
        <v>237</v>
      </c>
      <c r="C46" s="112">
        <v>231</v>
      </c>
      <c r="D46" s="112">
        <v>231</v>
      </c>
      <c r="E46" s="112">
        <v>232</v>
      </c>
      <c r="F46" s="112">
        <v>6.89</v>
      </c>
      <c r="G46" s="112">
        <v>3.86</v>
      </c>
      <c r="H46" s="112">
        <v>6.26</v>
      </c>
      <c r="I46" s="113">
        <v>0</v>
      </c>
      <c r="J46" s="112">
        <v>0</v>
      </c>
      <c r="K46" s="112">
        <v>0</v>
      </c>
      <c r="L46" s="113">
        <v>1040</v>
      </c>
      <c r="M46" s="112">
        <v>390</v>
      </c>
      <c r="N46" s="112">
        <v>0</v>
      </c>
      <c r="O46" s="113">
        <v>1430</v>
      </c>
      <c r="P46" s="31"/>
      <c r="Q46" s="31"/>
      <c r="R46" s="38"/>
    </row>
    <row r="47" spans="1:18" x14ac:dyDescent="0.3">
      <c r="A47" s="111">
        <v>46272</v>
      </c>
      <c r="B47" s="112" t="s">
        <v>238</v>
      </c>
      <c r="C47" s="112">
        <v>229</v>
      </c>
      <c r="D47" s="112">
        <v>229</v>
      </c>
      <c r="E47" s="112">
        <v>230</v>
      </c>
      <c r="F47" s="112">
        <v>4.46</v>
      </c>
      <c r="G47" s="112">
        <v>0</v>
      </c>
      <c r="H47" s="112">
        <v>0</v>
      </c>
      <c r="I47" s="113">
        <v>0.99729999999999996</v>
      </c>
      <c r="J47" s="112">
        <v>1</v>
      </c>
      <c r="K47" s="112">
        <v>0</v>
      </c>
      <c r="L47" s="113">
        <v>1020</v>
      </c>
      <c r="M47" s="112">
        <v>390</v>
      </c>
      <c r="N47" s="112">
        <v>0</v>
      </c>
      <c r="O47" s="113">
        <v>1410</v>
      </c>
      <c r="P47" s="35"/>
      <c r="Q47" s="35"/>
      <c r="R47" s="39"/>
    </row>
    <row r="48" spans="1:18" x14ac:dyDescent="0.3">
      <c r="A48" s="111">
        <v>46272</v>
      </c>
      <c r="B48" s="112" t="s">
        <v>239</v>
      </c>
      <c r="C48" s="112">
        <v>229</v>
      </c>
      <c r="D48" s="112">
        <v>230</v>
      </c>
      <c r="E48" s="112">
        <v>231</v>
      </c>
      <c r="F48" s="112">
        <v>4.49</v>
      </c>
      <c r="G48" s="112">
        <v>0</v>
      </c>
      <c r="H48" s="112">
        <v>0</v>
      </c>
      <c r="I48" s="113">
        <v>0.99729999999999996</v>
      </c>
      <c r="J48" s="112">
        <v>1</v>
      </c>
      <c r="K48" s="112">
        <v>0</v>
      </c>
      <c r="L48" s="113">
        <v>1030</v>
      </c>
      <c r="M48" s="112">
        <v>390</v>
      </c>
      <c r="N48" s="112">
        <v>0</v>
      </c>
      <c r="O48" s="113">
        <v>1420</v>
      </c>
      <c r="P48" s="31"/>
      <c r="Q48" s="31"/>
      <c r="R48" s="38"/>
    </row>
    <row r="49" spans="1:18" x14ac:dyDescent="0.3">
      <c r="A49" s="111">
        <v>46272</v>
      </c>
      <c r="B49" s="112" t="s">
        <v>240</v>
      </c>
      <c r="C49" s="112">
        <v>230</v>
      </c>
      <c r="D49" s="112">
        <v>231</v>
      </c>
      <c r="E49" s="112">
        <v>231</v>
      </c>
      <c r="F49" s="112">
        <v>4.5199999999999996</v>
      </c>
      <c r="G49" s="112">
        <v>0</v>
      </c>
      <c r="H49" s="112">
        <v>0</v>
      </c>
      <c r="I49" s="113">
        <v>0.99739999999999995</v>
      </c>
      <c r="J49" s="112">
        <v>1</v>
      </c>
      <c r="K49" s="112">
        <v>0</v>
      </c>
      <c r="L49" s="113">
        <v>1040</v>
      </c>
      <c r="M49" s="112">
        <v>390</v>
      </c>
      <c r="N49" s="112">
        <v>0</v>
      </c>
      <c r="O49" s="113">
        <v>1430</v>
      </c>
      <c r="P49" s="35"/>
      <c r="Q49" s="35"/>
      <c r="R49" s="39"/>
    </row>
    <row r="50" spans="1:18" x14ac:dyDescent="0.3">
      <c r="A50" s="111">
        <v>46272</v>
      </c>
      <c r="B50" s="112" t="s">
        <v>241</v>
      </c>
      <c r="C50" s="112">
        <v>231</v>
      </c>
      <c r="D50" s="112">
        <v>231</v>
      </c>
      <c r="E50" s="112">
        <v>232</v>
      </c>
      <c r="F50" s="112">
        <v>4.51</v>
      </c>
      <c r="G50" s="112">
        <v>0</v>
      </c>
      <c r="H50" s="112">
        <v>0</v>
      </c>
      <c r="I50" s="113">
        <v>0.99739999999999995</v>
      </c>
      <c r="J50" s="112">
        <v>1</v>
      </c>
      <c r="K50" s="112">
        <v>0</v>
      </c>
      <c r="L50" s="113">
        <v>1040</v>
      </c>
      <c r="M50" s="112">
        <v>410</v>
      </c>
      <c r="N50" s="112">
        <v>0</v>
      </c>
      <c r="O50" s="113">
        <v>1450</v>
      </c>
      <c r="P50" s="31"/>
      <c r="Q50" s="31"/>
      <c r="R50" s="38"/>
    </row>
    <row r="51" spans="1:18" x14ac:dyDescent="0.3">
      <c r="A51" s="111">
        <v>46272</v>
      </c>
      <c r="B51" s="112" t="s">
        <v>242</v>
      </c>
      <c r="C51" s="112">
        <v>231</v>
      </c>
      <c r="D51" s="112">
        <v>231</v>
      </c>
      <c r="E51" s="112">
        <v>232</v>
      </c>
      <c r="F51" s="112">
        <v>4.5</v>
      </c>
      <c r="G51" s="112">
        <v>0</v>
      </c>
      <c r="H51" s="112">
        <v>0</v>
      </c>
      <c r="I51" s="113">
        <v>0.99729999999999996</v>
      </c>
      <c r="J51" s="112">
        <v>1</v>
      </c>
      <c r="K51" s="112">
        <v>0</v>
      </c>
      <c r="L51" s="113">
        <v>1040</v>
      </c>
      <c r="M51" s="112">
        <v>400</v>
      </c>
      <c r="N51" s="112">
        <v>0</v>
      </c>
      <c r="O51" s="113">
        <v>1440</v>
      </c>
      <c r="P51" s="35"/>
      <c r="Q51" s="35"/>
      <c r="R51" s="39"/>
    </row>
    <row r="52" spans="1:18" x14ac:dyDescent="0.3">
      <c r="A52" s="111">
        <v>46272</v>
      </c>
      <c r="B52" s="112" t="s">
        <v>243</v>
      </c>
      <c r="C52" s="112">
        <v>231</v>
      </c>
      <c r="D52" s="112">
        <v>231</v>
      </c>
      <c r="E52" s="112">
        <v>232</v>
      </c>
      <c r="F52" s="112">
        <v>4.51</v>
      </c>
      <c r="G52" s="112">
        <v>0</v>
      </c>
      <c r="H52" s="112">
        <v>0</v>
      </c>
      <c r="I52" s="113">
        <v>0.99729999999999996</v>
      </c>
      <c r="J52" s="112">
        <v>1</v>
      </c>
      <c r="K52" s="112">
        <v>0</v>
      </c>
      <c r="L52" s="113">
        <v>1040</v>
      </c>
      <c r="M52" s="112">
        <v>400</v>
      </c>
      <c r="N52" s="112">
        <v>0</v>
      </c>
      <c r="O52" s="113">
        <v>1440</v>
      </c>
      <c r="P52" s="31"/>
      <c r="Q52" s="31"/>
      <c r="R52" s="38"/>
    </row>
    <row r="53" spans="1:18" x14ac:dyDescent="0.3">
      <c r="A53" s="111">
        <v>46272</v>
      </c>
      <c r="B53" s="112" t="s">
        <v>244</v>
      </c>
      <c r="C53" s="112">
        <v>231</v>
      </c>
      <c r="D53" s="112">
        <v>231</v>
      </c>
      <c r="E53" s="112">
        <v>232</v>
      </c>
      <c r="F53" s="112">
        <v>4.53</v>
      </c>
      <c r="G53" s="112">
        <v>0</v>
      </c>
      <c r="H53" s="112">
        <v>0</v>
      </c>
      <c r="I53" s="113">
        <v>0.99729999999999996</v>
      </c>
      <c r="J53" s="112">
        <v>1</v>
      </c>
      <c r="K53" s="112">
        <v>0</v>
      </c>
      <c r="L53" s="113">
        <v>1040</v>
      </c>
      <c r="M53" s="112">
        <v>400</v>
      </c>
      <c r="N53" s="112">
        <v>0</v>
      </c>
      <c r="O53" s="113">
        <v>1440</v>
      </c>
      <c r="P53" s="35"/>
      <c r="Q53" s="35"/>
      <c r="R53" s="39"/>
    </row>
    <row r="54" spans="1:18" x14ac:dyDescent="0.3">
      <c r="A54" s="111">
        <v>46272</v>
      </c>
      <c r="B54" s="112" t="s">
        <v>245</v>
      </c>
      <c r="C54" s="112">
        <v>231</v>
      </c>
      <c r="D54" s="112">
        <v>231</v>
      </c>
      <c r="E54" s="112">
        <v>232</v>
      </c>
      <c r="F54" s="112">
        <v>4.54</v>
      </c>
      <c r="G54" s="112">
        <v>0</v>
      </c>
      <c r="H54" s="112">
        <v>0</v>
      </c>
      <c r="I54" s="113">
        <v>0.99729999999999996</v>
      </c>
      <c r="J54" s="112">
        <v>1</v>
      </c>
      <c r="K54" s="112">
        <v>0</v>
      </c>
      <c r="L54" s="113">
        <v>1040</v>
      </c>
      <c r="M54" s="112">
        <v>400</v>
      </c>
      <c r="N54" s="112">
        <v>0</v>
      </c>
      <c r="O54" s="113">
        <v>1440</v>
      </c>
      <c r="P54" s="31"/>
      <c r="Q54" s="31"/>
      <c r="R54" s="38"/>
    </row>
    <row r="55" spans="1:18" x14ac:dyDescent="0.3">
      <c r="A55" s="111">
        <v>46272</v>
      </c>
      <c r="B55" s="112" t="s">
        <v>246</v>
      </c>
      <c r="C55" s="112">
        <v>231</v>
      </c>
      <c r="D55" s="112">
        <v>231</v>
      </c>
      <c r="E55" s="112">
        <v>232</v>
      </c>
      <c r="F55" s="112">
        <v>4.53</v>
      </c>
      <c r="G55" s="112">
        <v>0</v>
      </c>
      <c r="H55" s="112">
        <v>0</v>
      </c>
      <c r="I55" s="113">
        <v>0.99729999999999996</v>
      </c>
      <c r="J55" s="112">
        <v>1</v>
      </c>
      <c r="K55" s="112">
        <v>0</v>
      </c>
      <c r="L55" s="113">
        <v>1040</v>
      </c>
      <c r="M55" s="112">
        <v>400</v>
      </c>
      <c r="N55" s="112">
        <v>0</v>
      </c>
      <c r="O55" s="113">
        <v>1440</v>
      </c>
      <c r="P55" s="35"/>
      <c r="Q55" s="35"/>
      <c r="R55" s="39"/>
    </row>
    <row r="56" spans="1:18" x14ac:dyDescent="0.3">
      <c r="A56" s="111">
        <v>46272</v>
      </c>
      <c r="B56" s="112" t="s">
        <v>247</v>
      </c>
      <c r="C56" s="112">
        <v>231</v>
      </c>
      <c r="D56" s="112">
        <v>231</v>
      </c>
      <c r="E56" s="112">
        <v>232</v>
      </c>
      <c r="F56" s="112">
        <v>4.53</v>
      </c>
      <c r="G56" s="112">
        <v>0</v>
      </c>
      <c r="H56" s="112">
        <v>0</v>
      </c>
      <c r="I56" s="113">
        <v>0.99729999999999996</v>
      </c>
      <c r="J56" s="112">
        <v>1</v>
      </c>
      <c r="K56" s="112">
        <v>0</v>
      </c>
      <c r="L56" s="113">
        <v>1040</v>
      </c>
      <c r="M56" s="112">
        <v>400</v>
      </c>
      <c r="N56" s="112">
        <v>0</v>
      </c>
      <c r="O56" s="113">
        <v>1440</v>
      </c>
      <c r="P56" s="31"/>
      <c r="Q56" s="31"/>
      <c r="R56" s="38"/>
    </row>
    <row r="57" spans="1:18" x14ac:dyDescent="0.3">
      <c r="A57" s="111">
        <v>46272</v>
      </c>
      <c r="B57" s="112" t="s">
        <v>248</v>
      </c>
      <c r="C57" s="112">
        <v>231</v>
      </c>
      <c r="D57" s="112">
        <v>231</v>
      </c>
      <c r="E57" s="112">
        <v>232</v>
      </c>
      <c r="F57" s="112">
        <v>4.53</v>
      </c>
      <c r="G57" s="112">
        <v>0</v>
      </c>
      <c r="H57" s="112">
        <v>0</v>
      </c>
      <c r="I57" s="113">
        <v>0.99729999999999996</v>
      </c>
      <c r="J57" s="112">
        <v>1</v>
      </c>
      <c r="K57" s="112">
        <v>0</v>
      </c>
      <c r="L57" s="113">
        <v>1040</v>
      </c>
      <c r="M57" s="112">
        <v>400</v>
      </c>
      <c r="N57" s="112">
        <v>0</v>
      </c>
      <c r="O57" s="113">
        <v>1440</v>
      </c>
      <c r="P57" s="35"/>
      <c r="Q57" s="35"/>
      <c r="R57" s="39"/>
    </row>
    <row r="58" spans="1:18" x14ac:dyDescent="0.3">
      <c r="A58" s="111">
        <v>46272</v>
      </c>
      <c r="B58" s="112" t="s">
        <v>249</v>
      </c>
      <c r="C58" s="112">
        <v>229</v>
      </c>
      <c r="D58" s="112">
        <v>229</v>
      </c>
      <c r="E58" s="112">
        <v>231</v>
      </c>
      <c r="F58" s="112">
        <v>4.4800000000000004</v>
      </c>
      <c r="G58" s="112">
        <v>0</v>
      </c>
      <c r="H58" s="112">
        <v>0</v>
      </c>
      <c r="I58" s="113">
        <v>0.99729999999999996</v>
      </c>
      <c r="J58" s="112">
        <v>1</v>
      </c>
      <c r="K58" s="112">
        <v>0</v>
      </c>
      <c r="L58" s="113">
        <v>1020</v>
      </c>
      <c r="M58" s="112">
        <v>390</v>
      </c>
      <c r="N58" s="112">
        <v>0</v>
      </c>
      <c r="O58" s="113">
        <v>1410</v>
      </c>
      <c r="P58" s="31"/>
      <c r="Q58" s="31"/>
      <c r="R58" s="38"/>
    </row>
    <row r="59" spans="1:18" x14ac:dyDescent="0.3">
      <c r="A59" s="111">
        <v>46272</v>
      </c>
      <c r="B59" s="112" t="s">
        <v>250</v>
      </c>
      <c r="C59" s="112">
        <v>228</v>
      </c>
      <c r="D59" s="112">
        <v>228</v>
      </c>
      <c r="E59" s="112">
        <v>229</v>
      </c>
      <c r="F59" s="112">
        <v>4.45</v>
      </c>
      <c r="G59" s="112">
        <v>0</v>
      </c>
      <c r="H59" s="112">
        <v>0</v>
      </c>
      <c r="I59" s="113">
        <v>0.99729999999999996</v>
      </c>
      <c r="J59" s="112">
        <v>1</v>
      </c>
      <c r="K59" s="112">
        <v>0</v>
      </c>
      <c r="L59" s="113">
        <v>1010</v>
      </c>
      <c r="M59" s="112">
        <v>390</v>
      </c>
      <c r="N59" s="112">
        <v>0</v>
      </c>
      <c r="O59" s="113">
        <v>1400</v>
      </c>
      <c r="P59" s="35"/>
      <c r="Q59" s="35"/>
      <c r="R59" s="39"/>
    </row>
    <row r="60" spans="1:18" x14ac:dyDescent="0.3">
      <c r="A60" s="111">
        <v>46272</v>
      </c>
      <c r="B60" s="112" t="s">
        <v>251</v>
      </c>
      <c r="C60" s="112">
        <v>229</v>
      </c>
      <c r="D60" s="112">
        <v>229</v>
      </c>
      <c r="E60" s="112">
        <v>230</v>
      </c>
      <c r="F60" s="112">
        <v>4.46</v>
      </c>
      <c r="G60" s="112">
        <v>0</v>
      </c>
      <c r="H60" s="112">
        <v>0</v>
      </c>
      <c r="I60" s="113">
        <v>0.99729999999999996</v>
      </c>
      <c r="J60" s="112">
        <v>1</v>
      </c>
      <c r="K60" s="112">
        <v>0</v>
      </c>
      <c r="L60" s="113">
        <v>1020</v>
      </c>
      <c r="M60" s="112">
        <v>390</v>
      </c>
      <c r="N60" s="112">
        <v>0</v>
      </c>
      <c r="O60" s="113">
        <v>1410</v>
      </c>
      <c r="P60" s="31"/>
      <c r="Q60" s="31"/>
      <c r="R60" s="38"/>
    </row>
    <row r="61" spans="1:18" x14ac:dyDescent="0.3">
      <c r="A61" s="111">
        <v>46272</v>
      </c>
      <c r="B61" s="112" t="s">
        <v>252</v>
      </c>
      <c r="C61" s="112">
        <v>228</v>
      </c>
      <c r="D61" s="112">
        <v>228</v>
      </c>
      <c r="E61" s="112">
        <v>229</v>
      </c>
      <c r="F61" s="112">
        <v>4.45</v>
      </c>
      <c r="G61" s="112">
        <v>0</v>
      </c>
      <c r="H61" s="112">
        <v>0</v>
      </c>
      <c r="I61" s="113">
        <v>0.99729999999999996</v>
      </c>
      <c r="J61" s="112">
        <v>1</v>
      </c>
      <c r="K61" s="112">
        <v>0</v>
      </c>
      <c r="L61" s="113">
        <v>1010</v>
      </c>
      <c r="M61" s="112">
        <v>390</v>
      </c>
      <c r="N61" s="112">
        <v>0</v>
      </c>
      <c r="O61" s="113">
        <v>1400</v>
      </c>
      <c r="P61" s="35"/>
      <c r="Q61" s="35"/>
      <c r="R61" s="39"/>
    </row>
    <row r="62" spans="1:18" x14ac:dyDescent="0.3">
      <c r="A62" s="111">
        <v>46272</v>
      </c>
      <c r="B62" s="112" t="s">
        <v>253</v>
      </c>
      <c r="C62" s="112">
        <v>228</v>
      </c>
      <c r="D62" s="112">
        <v>228</v>
      </c>
      <c r="E62" s="112">
        <v>229</v>
      </c>
      <c r="F62" s="112">
        <v>4.4400000000000004</v>
      </c>
      <c r="G62" s="112">
        <v>0</v>
      </c>
      <c r="H62" s="112">
        <v>0</v>
      </c>
      <c r="I62" s="113">
        <v>0.99719999999999998</v>
      </c>
      <c r="J62" s="112">
        <v>1</v>
      </c>
      <c r="K62" s="112">
        <v>0</v>
      </c>
      <c r="L62" s="113">
        <v>1010</v>
      </c>
      <c r="M62" s="112">
        <v>390</v>
      </c>
      <c r="N62" s="112">
        <v>0</v>
      </c>
      <c r="O62" s="113">
        <v>1400</v>
      </c>
      <c r="P62" s="31"/>
      <c r="Q62" s="31"/>
      <c r="R62" s="38"/>
    </row>
    <row r="63" spans="1:18" x14ac:dyDescent="0.3">
      <c r="A63" s="111">
        <v>46272</v>
      </c>
      <c r="B63" s="112" t="s">
        <v>254</v>
      </c>
      <c r="C63" s="112">
        <v>228</v>
      </c>
      <c r="D63" s="112">
        <v>229</v>
      </c>
      <c r="E63" s="112">
        <v>230</v>
      </c>
      <c r="F63" s="112">
        <v>4.45</v>
      </c>
      <c r="G63" s="112">
        <v>0</v>
      </c>
      <c r="H63" s="112">
        <v>0</v>
      </c>
      <c r="I63" s="113">
        <v>0.99719999999999998</v>
      </c>
      <c r="J63" s="112">
        <v>1</v>
      </c>
      <c r="K63" s="112">
        <v>0</v>
      </c>
      <c r="L63" s="113">
        <v>1010</v>
      </c>
      <c r="M63" s="112">
        <v>390</v>
      </c>
      <c r="N63" s="112">
        <v>0</v>
      </c>
      <c r="O63" s="113">
        <v>1400</v>
      </c>
      <c r="P63" s="35"/>
      <c r="Q63" s="35"/>
      <c r="R63" s="39"/>
    </row>
    <row r="64" spans="1:18" x14ac:dyDescent="0.3">
      <c r="A64" s="111">
        <v>46272</v>
      </c>
      <c r="B64" s="112" t="s">
        <v>255</v>
      </c>
      <c r="C64" s="112">
        <v>228</v>
      </c>
      <c r="D64" s="112">
        <v>228</v>
      </c>
      <c r="E64" s="112">
        <v>229</v>
      </c>
      <c r="F64" s="112">
        <v>4.43</v>
      </c>
      <c r="G64" s="112">
        <v>0</v>
      </c>
      <c r="H64" s="112">
        <v>0</v>
      </c>
      <c r="I64" s="113">
        <v>0.997</v>
      </c>
      <c r="J64" s="112">
        <v>1</v>
      </c>
      <c r="K64" s="112">
        <v>0</v>
      </c>
      <c r="L64" s="113">
        <v>1000</v>
      </c>
      <c r="M64" s="112">
        <v>390</v>
      </c>
      <c r="N64" s="112">
        <v>0</v>
      </c>
      <c r="O64" s="113">
        <v>1390</v>
      </c>
      <c r="P64" s="31"/>
      <c r="Q64" s="31"/>
      <c r="R64" s="38"/>
    </row>
    <row r="65" spans="1:18" x14ac:dyDescent="0.3">
      <c r="A65" s="111">
        <v>46272</v>
      </c>
      <c r="B65" s="112" t="s">
        <v>256</v>
      </c>
      <c r="C65" s="112">
        <v>230</v>
      </c>
      <c r="D65" s="112">
        <v>230</v>
      </c>
      <c r="E65" s="112">
        <v>232</v>
      </c>
      <c r="F65" s="112">
        <v>4.45</v>
      </c>
      <c r="G65" s="112">
        <v>0</v>
      </c>
      <c r="H65" s="112">
        <v>0</v>
      </c>
      <c r="I65" s="113">
        <v>0.99680000000000002</v>
      </c>
      <c r="J65" s="112">
        <v>1</v>
      </c>
      <c r="K65" s="112">
        <v>0</v>
      </c>
      <c r="L65" s="113">
        <v>1020</v>
      </c>
      <c r="M65" s="112">
        <v>380</v>
      </c>
      <c r="N65" s="112">
        <v>0</v>
      </c>
      <c r="O65" s="113">
        <v>1400</v>
      </c>
      <c r="P65" s="35"/>
      <c r="Q65" s="35"/>
      <c r="R65" s="39"/>
    </row>
    <row r="66" spans="1:18" x14ac:dyDescent="0.3">
      <c r="A66" s="111">
        <v>46272</v>
      </c>
      <c r="B66" s="112" t="s">
        <v>257</v>
      </c>
      <c r="C66" s="112">
        <v>234</v>
      </c>
      <c r="D66" s="112">
        <v>234</v>
      </c>
      <c r="E66" s="112">
        <v>235</v>
      </c>
      <c r="F66" s="112">
        <v>4.5199999999999996</v>
      </c>
      <c r="G66" s="112">
        <v>0</v>
      </c>
      <c r="H66" s="112">
        <v>0</v>
      </c>
      <c r="I66" s="113">
        <v>0.99660000000000004</v>
      </c>
      <c r="J66" s="112">
        <v>1</v>
      </c>
      <c r="K66" s="112">
        <v>0</v>
      </c>
      <c r="L66" s="113">
        <v>1050</v>
      </c>
      <c r="M66" s="112">
        <v>390</v>
      </c>
      <c r="N66" s="112">
        <v>0</v>
      </c>
      <c r="O66" s="113">
        <v>1440</v>
      </c>
      <c r="P66" s="31"/>
      <c r="Q66" s="31"/>
      <c r="R66" s="38"/>
    </row>
    <row r="67" spans="1:18" x14ac:dyDescent="0.3">
      <c r="A67" s="111">
        <v>46272</v>
      </c>
      <c r="B67" s="112" t="s">
        <v>258</v>
      </c>
      <c r="C67" s="112">
        <v>234</v>
      </c>
      <c r="D67" s="112">
        <v>235</v>
      </c>
      <c r="E67" s="112">
        <v>236</v>
      </c>
      <c r="F67" s="112">
        <v>4.5599999999999996</v>
      </c>
      <c r="G67" s="112">
        <v>0</v>
      </c>
      <c r="H67" s="112">
        <v>0</v>
      </c>
      <c r="I67" s="113">
        <v>0.99670000000000003</v>
      </c>
      <c r="J67" s="112">
        <v>1</v>
      </c>
      <c r="K67" s="112">
        <v>0</v>
      </c>
      <c r="L67" s="113">
        <v>1060</v>
      </c>
      <c r="M67" s="112">
        <v>390</v>
      </c>
      <c r="N67" s="112">
        <v>0</v>
      </c>
      <c r="O67" s="113">
        <v>1450</v>
      </c>
      <c r="P67" s="35"/>
      <c r="Q67" s="35"/>
      <c r="R67" s="39"/>
    </row>
    <row r="68" spans="1:18" x14ac:dyDescent="0.3">
      <c r="A68" s="111">
        <v>46272</v>
      </c>
      <c r="B68" s="112" t="s">
        <v>259</v>
      </c>
      <c r="C68" s="112">
        <v>234</v>
      </c>
      <c r="D68" s="112">
        <v>234</v>
      </c>
      <c r="E68" s="112">
        <v>236</v>
      </c>
      <c r="F68" s="112">
        <v>4.72</v>
      </c>
      <c r="G68" s="112">
        <v>0</v>
      </c>
      <c r="H68" s="112">
        <v>0</v>
      </c>
      <c r="I68" s="113">
        <v>0.99680000000000002</v>
      </c>
      <c r="J68" s="112">
        <v>1</v>
      </c>
      <c r="K68" s="112">
        <v>0</v>
      </c>
      <c r="L68" s="113">
        <v>1100</v>
      </c>
      <c r="M68" s="112">
        <v>390</v>
      </c>
      <c r="N68" s="112">
        <v>0</v>
      </c>
      <c r="O68" s="113">
        <v>1490</v>
      </c>
      <c r="P68" s="31"/>
      <c r="Q68" s="31"/>
      <c r="R68" s="38"/>
    </row>
    <row r="69" spans="1:18" x14ac:dyDescent="0.3">
      <c r="A69" s="111">
        <v>46272</v>
      </c>
      <c r="B69" s="112" t="s">
        <v>260</v>
      </c>
      <c r="C69" s="112">
        <v>234</v>
      </c>
      <c r="D69" s="112">
        <v>235</v>
      </c>
      <c r="E69" s="112">
        <v>236</v>
      </c>
      <c r="F69" s="112">
        <v>4.8499999999999996</v>
      </c>
      <c r="G69" s="112">
        <v>0</v>
      </c>
      <c r="H69" s="112">
        <v>0</v>
      </c>
      <c r="I69" s="113">
        <v>0.99690000000000001</v>
      </c>
      <c r="J69" s="112">
        <v>1</v>
      </c>
      <c r="K69" s="112">
        <v>0</v>
      </c>
      <c r="L69" s="113">
        <v>1130</v>
      </c>
      <c r="M69" s="112">
        <v>390</v>
      </c>
      <c r="N69" s="112">
        <v>0</v>
      </c>
      <c r="O69" s="113">
        <v>1520</v>
      </c>
      <c r="P69" s="35"/>
      <c r="Q69" s="35"/>
      <c r="R69" s="39"/>
    </row>
    <row r="70" spans="1:18" x14ac:dyDescent="0.3">
      <c r="A70" s="111">
        <v>46272</v>
      </c>
      <c r="B70" s="112" t="s">
        <v>261</v>
      </c>
      <c r="C70" s="112">
        <v>231</v>
      </c>
      <c r="D70" s="112">
        <v>232</v>
      </c>
      <c r="E70" s="112">
        <v>233</v>
      </c>
      <c r="F70" s="112">
        <v>4.8</v>
      </c>
      <c r="G70" s="112">
        <v>0</v>
      </c>
      <c r="H70" s="112">
        <v>0</v>
      </c>
      <c r="I70" s="113">
        <v>0.99690000000000001</v>
      </c>
      <c r="J70" s="112">
        <v>1</v>
      </c>
      <c r="K70" s="112">
        <v>0</v>
      </c>
      <c r="L70" s="113">
        <v>1110</v>
      </c>
      <c r="M70" s="112">
        <v>380</v>
      </c>
      <c r="N70" s="112">
        <v>0</v>
      </c>
      <c r="O70" s="113">
        <v>1490</v>
      </c>
      <c r="P70" s="31"/>
      <c r="Q70" s="31"/>
      <c r="R70" s="38"/>
    </row>
    <row r="71" spans="1:18" x14ac:dyDescent="0.3">
      <c r="A71" s="111">
        <v>46272</v>
      </c>
      <c r="B71" s="112" t="s">
        <v>262</v>
      </c>
      <c r="C71" s="112">
        <v>232</v>
      </c>
      <c r="D71" s="112">
        <v>233</v>
      </c>
      <c r="E71" s="112">
        <v>234</v>
      </c>
      <c r="F71" s="112">
        <v>4.8</v>
      </c>
      <c r="G71" s="112">
        <v>0</v>
      </c>
      <c r="H71" s="112">
        <v>0</v>
      </c>
      <c r="I71" s="113">
        <v>0.997</v>
      </c>
      <c r="J71" s="112">
        <v>1</v>
      </c>
      <c r="K71" s="112">
        <v>0</v>
      </c>
      <c r="L71" s="113">
        <v>1110</v>
      </c>
      <c r="M71" s="112">
        <v>380</v>
      </c>
      <c r="N71" s="112">
        <v>0</v>
      </c>
      <c r="O71" s="113">
        <v>1490</v>
      </c>
      <c r="P71" s="35"/>
      <c r="Q71" s="35"/>
      <c r="R71" s="39"/>
    </row>
    <row r="72" spans="1:18" x14ac:dyDescent="0.3">
      <c r="A72" s="111">
        <v>46272</v>
      </c>
      <c r="B72" s="112" t="s">
        <v>263</v>
      </c>
      <c r="C72" s="112">
        <v>231</v>
      </c>
      <c r="D72" s="112">
        <v>232</v>
      </c>
      <c r="E72" s="112">
        <v>233</v>
      </c>
      <c r="F72" s="112">
        <v>4.78</v>
      </c>
      <c r="G72" s="112">
        <v>0</v>
      </c>
      <c r="H72" s="112">
        <v>0</v>
      </c>
      <c r="I72" s="113">
        <v>0.997</v>
      </c>
      <c r="J72" s="112">
        <v>1</v>
      </c>
      <c r="K72" s="112">
        <v>0</v>
      </c>
      <c r="L72" s="113">
        <v>1100</v>
      </c>
      <c r="M72" s="112">
        <v>380</v>
      </c>
      <c r="N72" s="112">
        <v>0</v>
      </c>
      <c r="O72" s="113">
        <v>1480</v>
      </c>
      <c r="P72" s="31"/>
      <c r="Q72" s="31"/>
      <c r="R72" s="38"/>
    </row>
    <row r="73" spans="1:18" x14ac:dyDescent="0.3">
      <c r="A73" s="111">
        <v>46272</v>
      </c>
      <c r="B73" s="112" t="s">
        <v>264</v>
      </c>
      <c r="C73" s="112">
        <v>232</v>
      </c>
      <c r="D73" s="112">
        <v>233</v>
      </c>
      <c r="E73" s="112">
        <v>234</v>
      </c>
      <c r="F73" s="112">
        <v>4.7699999999999996</v>
      </c>
      <c r="G73" s="112">
        <v>0</v>
      </c>
      <c r="H73" s="112">
        <v>0</v>
      </c>
      <c r="I73" s="113">
        <v>0.99680000000000002</v>
      </c>
      <c r="J73" s="112">
        <v>1</v>
      </c>
      <c r="K73" s="112">
        <v>0</v>
      </c>
      <c r="L73" s="113">
        <v>1100</v>
      </c>
      <c r="M73" s="112">
        <v>390</v>
      </c>
      <c r="N73" s="112">
        <v>0</v>
      </c>
      <c r="O73" s="113">
        <v>1490</v>
      </c>
      <c r="P73" s="35"/>
      <c r="Q73" s="35"/>
      <c r="R73" s="39"/>
    </row>
    <row r="74" spans="1:18" x14ac:dyDescent="0.3">
      <c r="A74" s="111">
        <v>46272</v>
      </c>
      <c r="B74" s="112" t="s">
        <v>265</v>
      </c>
      <c r="C74" s="112">
        <v>231</v>
      </c>
      <c r="D74" s="112">
        <v>231</v>
      </c>
      <c r="E74" s="112">
        <v>232</v>
      </c>
      <c r="F74" s="112">
        <v>4.74</v>
      </c>
      <c r="G74" s="112">
        <v>0</v>
      </c>
      <c r="H74" s="112">
        <v>0</v>
      </c>
      <c r="I74" s="113">
        <v>0.99690000000000001</v>
      </c>
      <c r="J74" s="112">
        <v>1</v>
      </c>
      <c r="K74" s="112">
        <v>0</v>
      </c>
      <c r="L74" s="113">
        <v>1090</v>
      </c>
      <c r="M74" s="112">
        <v>420</v>
      </c>
      <c r="N74" s="112">
        <v>0</v>
      </c>
      <c r="O74" s="113">
        <v>1510</v>
      </c>
      <c r="P74" s="31"/>
      <c r="Q74" s="31"/>
      <c r="R74" s="38"/>
    </row>
    <row r="75" spans="1:18" x14ac:dyDescent="0.3">
      <c r="A75" s="111">
        <v>46272</v>
      </c>
      <c r="B75" s="112" t="s">
        <v>266</v>
      </c>
      <c r="C75" s="112">
        <v>230</v>
      </c>
      <c r="D75" s="112">
        <v>231</v>
      </c>
      <c r="E75" s="112">
        <v>232</v>
      </c>
      <c r="F75" s="112">
        <v>4.62</v>
      </c>
      <c r="G75" s="112">
        <v>0</v>
      </c>
      <c r="H75" s="112">
        <v>0</v>
      </c>
      <c r="I75" s="113">
        <v>0</v>
      </c>
      <c r="J75" s="112">
        <v>1</v>
      </c>
      <c r="K75" s="112">
        <v>0</v>
      </c>
      <c r="L75" s="113">
        <v>1050</v>
      </c>
      <c r="M75" s="112">
        <v>380</v>
      </c>
      <c r="N75" s="112">
        <v>0</v>
      </c>
      <c r="O75" s="113">
        <v>1430</v>
      </c>
      <c r="P75" s="35"/>
      <c r="Q75" s="35"/>
      <c r="R75" s="39"/>
    </row>
    <row r="76" spans="1:18" x14ac:dyDescent="0.3">
      <c r="A76" s="111">
        <v>46272</v>
      </c>
      <c r="B76" s="112" t="s">
        <v>267</v>
      </c>
      <c r="C76" s="112">
        <v>228</v>
      </c>
      <c r="D76" s="112">
        <v>228</v>
      </c>
      <c r="E76" s="112">
        <v>229</v>
      </c>
      <c r="F76" s="112">
        <v>6.51</v>
      </c>
      <c r="G76" s="112">
        <v>6.35</v>
      </c>
      <c r="H76" s="112">
        <v>6.7</v>
      </c>
      <c r="I76" s="113">
        <v>0</v>
      </c>
      <c r="J76" s="112">
        <v>0.75939999999999996</v>
      </c>
      <c r="K76" s="112">
        <v>0</v>
      </c>
      <c r="L76" s="113">
        <v>790</v>
      </c>
      <c r="M76" s="112">
        <v>680</v>
      </c>
      <c r="N76" s="112">
        <v>540</v>
      </c>
      <c r="O76" s="113">
        <v>2010</v>
      </c>
      <c r="P76" s="31"/>
      <c r="Q76" s="31"/>
      <c r="R76" s="38"/>
    </row>
    <row r="77" spans="1:18" x14ac:dyDescent="0.3">
      <c r="A77" s="111">
        <v>46272</v>
      </c>
      <c r="B77" s="112" t="s">
        <v>268</v>
      </c>
      <c r="C77" s="112">
        <v>225</v>
      </c>
      <c r="D77" s="112">
        <v>225</v>
      </c>
      <c r="E77" s="112">
        <v>226</v>
      </c>
      <c r="F77" s="112">
        <v>6.86</v>
      </c>
      <c r="G77" s="112">
        <v>6.86</v>
      </c>
      <c r="H77" s="112">
        <v>5.41</v>
      </c>
      <c r="I77" s="113">
        <v>0</v>
      </c>
      <c r="J77" s="112">
        <v>0.74490000000000001</v>
      </c>
      <c r="K77" s="112">
        <v>0</v>
      </c>
      <c r="L77" s="113">
        <v>780</v>
      </c>
      <c r="M77" s="112">
        <v>780</v>
      </c>
      <c r="N77" s="112">
        <v>240</v>
      </c>
      <c r="O77" s="113">
        <v>1800</v>
      </c>
      <c r="P77" s="35"/>
      <c r="Q77" s="35"/>
      <c r="R77" s="39"/>
    </row>
    <row r="78" spans="1:18" x14ac:dyDescent="0.3">
      <c r="A78" s="111">
        <v>46272</v>
      </c>
      <c r="B78" s="112" t="s">
        <v>269</v>
      </c>
      <c r="C78" s="112">
        <v>226</v>
      </c>
      <c r="D78" s="112">
        <v>226</v>
      </c>
      <c r="E78" s="112">
        <v>228</v>
      </c>
      <c r="F78" s="112">
        <v>8.7100000000000009</v>
      </c>
      <c r="G78" s="112">
        <v>8.9600000000000009</v>
      </c>
      <c r="H78" s="112">
        <v>7.5</v>
      </c>
      <c r="I78" s="113">
        <v>0</v>
      </c>
      <c r="J78" s="112">
        <v>0.62250000000000005</v>
      </c>
      <c r="K78" s="112">
        <v>0</v>
      </c>
      <c r="L78" s="113">
        <v>610</v>
      </c>
      <c r="M78" s="112">
        <v>890</v>
      </c>
      <c r="N78" s="112">
        <v>340</v>
      </c>
      <c r="O78" s="113">
        <v>1840</v>
      </c>
      <c r="P78" s="31"/>
      <c r="Q78" s="31"/>
      <c r="R78" s="38"/>
    </row>
    <row r="79" spans="1:18" x14ac:dyDescent="0.3">
      <c r="A79" s="111">
        <v>46272</v>
      </c>
      <c r="B79" s="112" t="s">
        <v>270</v>
      </c>
      <c r="C79" s="112">
        <v>227</v>
      </c>
      <c r="D79" s="112">
        <v>227</v>
      </c>
      <c r="E79" s="112">
        <v>229</v>
      </c>
      <c r="F79" s="112">
        <v>7.31</v>
      </c>
      <c r="G79" s="112">
        <v>7.91</v>
      </c>
      <c r="H79" s="112">
        <v>12.9</v>
      </c>
      <c r="I79" s="113">
        <v>0</v>
      </c>
      <c r="J79" s="112">
        <v>0.66620000000000001</v>
      </c>
      <c r="K79" s="112">
        <v>0</v>
      </c>
      <c r="L79" s="113">
        <v>510</v>
      </c>
      <c r="M79" s="112">
        <v>910</v>
      </c>
      <c r="N79" s="112">
        <v>610</v>
      </c>
      <c r="O79" s="113">
        <v>2030</v>
      </c>
      <c r="P79" s="35"/>
      <c r="Q79" s="35"/>
      <c r="R79" s="39"/>
    </row>
    <row r="80" spans="1:18" x14ac:dyDescent="0.3">
      <c r="A80" s="111">
        <v>46272</v>
      </c>
      <c r="B80" s="112" t="s">
        <v>271</v>
      </c>
      <c r="C80" s="112">
        <v>226</v>
      </c>
      <c r="D80" s="112">
        <v>226</v>
      </c>
      <c r="E80" s="112">
        <v>228</v>
      </c>
      <c r="F80" s="112">
        <v>4.4400000000000004</v>
      </c>
      <c r="G80" s="112">
        <v>4.7699999999999996</v>
      </c>
      <c r="H80" s="112">
        <v>4.0599999999999996</v>
      </c>
      <c r="I80" s="113">
        <v>0</v>
      </c>
      <c r="J80" s="112">
        <v>0.87709999999999999</v>
      </c>
      <c r="K80" s="112">
        <v>0</v>
      </c>
      <c r="L80" s="113">
        <v>520</v>
      </c>
      <c r="M80" s="112">
        <v>750</v>
      </c>
      <c r="N80" s="112">
        <v>90</v>
      </c>
      <c r="O80" s="113">
        <v>1360</v>
      </c>
      <c r="P80" s="31"/>
      <c r="Q80" s="31"/>
      <c r="R80" s="38"/>
    </row>
    <row r="81" spans="1:18" x14ac:dyDescent="0.3">
      <c r="A81" s="111">
        <v>46272</v>
      </c>
      <c r="B81" s="112" t="s">
        <v>272</v>
      </c>
      <c r="C81" s="112">
        <v>225</v>
      </c>
      <c r="D81" s="112">
        <v>225</v>
      </c>
      <c r="E81" s="112">
        <v>227</v>
      </c>
      <c r="F81" s="112">
        <v>5</v>
      </c>
      <c r="G81" s="112">
        <v>5.64</v>
      </c>
      <c r="H81" s="112">
        <v>11.2</v>
      </c>
      <c r="I81" s="113">
        <v>0</v>
      </c>
      <c r="J81" s="112">
        <v>0.80269999999999997</v>
      </c>
      <c r="K81" s="112">
        <v>0</v>
      </c>
      <c r="L81" s="113">
        <v>510</v>
      </c>
      <c r="M81" s="112">
        <v>820</v>
      </c>
      <c r="N81" s="112">
        <v>380</v>
      </c>
      <c r="O81" s="113">
        <v>1710</v>
      </c>
      <c r="P81" s="35"/>
      <c r="Q81" s="35"/>
      <c r="R81" s="39"/>
    </row>
    <row r="82" spans="1:18" x14ac:dyDescent="0.3">
      <c r="A82" s="111">
        <v>46272</v>
      </c>
      <c r="B82" s="112" t="s">
        <v>273</v>
      </c>
      <c r="C82" s="112">
        <v>226</v>
      </c>
      <c r="D82" s="112">
        <v>226</v>
      </c>
      <c r="E82" s="112">
        <v>228</v>
      </c>
      <c r="F82" s="112">
        <v>6.13</v>
      </c>
      <c r="G82" s="112">
        <v>6.26</v>
      </c>
      <c r="H82" s="112">
        <v>14.9</v>
      </c>
      <c r="I82" s="113">
        <v>0</v>
      </c>
      <c r="J82" s="112">
        <v>0.74909999999999999</v>
      </c>
      <c r="K82" s="112">
        <v>0</v>
      </c>
      <c r="L82" s="113">
        <v>670</v>
      </c>
      <c r="M82" s="112">
        <v>740</v>
      </c>
      <c r="N82" s="112">
        <v>680</v>
      </c>
      <c r="O82" s="113">
        <v>2090</v>
      </c>
      <c r="P82" s="31"/>
      <c r="Q82" s="31"/>
      <c r="R82" s="38"/>
    </row>
    <row r="83" spans="1:18" x14ac:dyDescent="0.3">
      <c r="A83" s="111">
        <v>46272</v>
      </c>
      <c r="B83" s="112" t="s">
        <v>274</v>
      </c>
      <c r="C83" s="112">
        <v>226</v>
      </c>
      <c r="D83" s="112">
        <v>227</v>
      </c>
      <c r="E83" s="112">
        <v>228</v>
      </c>
      <c r="F83" s="112">
        <v>6.04</v>
      </c>
      <c r="G83" s="112">
        <v>6.06</v>
      </c>
      <c r="H83" s="112">
        <v>6.95</v>
      </c>
      <c r="I83" s="113">
        <v>0</v>
      </c>
      <c r="J83" s="112">
        <v>0.73629999999999995</v>
      </c>
      <c r="K83" s="112">
        <v>0</v>
      </c>
      <c r="L83" s="113">
        <v>570</v>
      </c>
      <c r="M83" s="112">
        <v>760</v>
      </c>
      <c r="N83" s="112">
        <v>340</v>
      </c>
      <c r="O83" s="113">
        <v>1670</v>
      </c>
      <c r="P83" s="35"/>
      <c r="Q83" s="35"/>
      <c r="R83" s="39"/>
    </row>
    <row r="84" spans="1:18" x14ac:dyDescent="0.3">
      <c r="A84" s="111">
        <v>46272</v>
      </c>
      <c r="B84" s="112" t="s">
        <v>275</v>
      </c>
      <c r="C84" s="112">
        <v>226</v>
      </c>
      <c r="D84" s="112">
        <v>226</v>
      </c>
      <c r="E84" s="112">
        <v>228</v>
      </c>
      <c r="F84" s="112">
        <v>6</v>
      </c>
      <c r="G84" s="112">
        <v>5.99</v>
      </c>
      <c r="H84" s="112">
        <v>7.67</v>
      </c>
      <c r="I84" s="113">
        <v>0</v>
      </c>
      <c r="J84" s="112">
        <v>0.64190000000000003</v>
      </c>
      <c r="K84" s="112">
        <v>0</v>
      </c>
      <c r="L84" s="113">
        <v>290</v>
      </c>
      <c r="M84" s="112">
        <v>730</v>
      </c>
      <c r="N84" s="112">
        <v>410</v>
      </c>
      <c r="O84" s="113">
        <v>1430</v>
      </c>
      <c r="P84" s="31"/>
      <c r="Q84" s="31"/>
      <c r="R84" s="38"/>
    </row>
    <row r="85" spans="1:18" x14ac:dyDescent="0.3">
      <c r="A85" s="111">
        <v>46272</v>
      </c>
      <c r="B85" s="112" t="s">
        <v>276</v>
      </c>
      <c r="C85" s="112">
        <v>225</v>
      </c>
      <c r="D85" s="112">
        <v>225</v>
      </c>
      <c r="E85" s="112">
        <v>227</v>
      </c>
      <c r="F85" s="112">
        <v>8.42</v>
      </c>
      <c r="G85" s="112">
        <v>9.16</v>
      </c>
      <c r="H85" s="112">
        <v>12.9</v>
      </c>
      <c r="I85" s="113">
        <v>0</v>
      </c>
      <c r="J85" s="112">
        <v>0.59699999999999998</v>
      </c>
      <c r="K85" s="112">
        <v>0</v>
      </c>
      <c r="L85" s="113">
        <v>230</v>
      </c>
      <c r="M85" s="112">
        <v>1010</v>
      </c>
      <c r="N85" s="112">
        <v>790</v>
      </c>
      <c r="O85" s="113">
        <v>2030</v>
      </c>
      <c r="P85" s="35"/>
      <c r="Q85" s="35"/>
      <c r="R85" s="39"/>
    </row>
    <row r="86" spans="1:18" x14ac:dyDescent="0.3">
      <c r="A86" s="111">
        <v>46272</v>
      </c>
      <c r="B86" s="112" t="s">
        <v>277</v>
      </c>
      <c r="C86" s="112">
        <v>226</v>
      </c>
      <c r="D86" s="112">
        <v>225</v>
      </c>
      <c r="E86" s="112">
        <v>228</v>
      </c>
      <c r="F86" s="112">
        <v>4.82</v>
      </c>
      <c r="G86" s="112">
        <v>5.91</v>
      </c>
      <c r="H86" s="112">
        <v>5.84</v>
      </c>
      <c r="I86" s="113">
        <v>0</v>
      </c>
      <c r="J86" s="112">
        <v>0.82630000000000003</v>
      </c>
      <c r="K86" s="112">
        <v>0</v>
      </c>
      <c r="L86" s="113">
        <v>470</v>
      </c>
      <c r="M86" s="112">
        <v>870</v>
      </c>
      <c r="N86" s="112">
        <v>360</v>
      </c>
      <c r="O86" s="113">
        <v>1700</v>
      </c>
      <c r="P86" s="31"/>
      <c r="Q86" s="31"/>
      <c r="R86" s="38"/>
    </row>
    <row r="87" spans="1:18" x14ac:dyDescent="0.3">
      <c r="A87" s="111">
        <v>46272</v>
      </c>
      <c r="B87" s="112" t="s">
        <v>278</v>
      </c>
      <c r="C87" s="112">
        <v>226</v>
      </c>
      <c r="D87" s="112">
        <v>226</v>
      </c>
      <c r="E87" s="112">
        <v>228</v>
      </c>
      <c r="F87" s="112">
        <v>5.33</v>
      </c>
      <c r="G87" s="112">
        <v>6.82</v>
      </c>
      <c r="H87" s="112">
        <v>6.2</v>
      </c>
      <c r="I87" s="113">
        <v>0</v>
      </c>
      <c r="J87" s="112">
        <v>0.85980000000000001</v>
      </c>
      <c r="K87" s="112">
        <v>0</v>
      </c>
      <c r="L87" s="113">
        <v>470</v>
      </c>
      <c r="M87" s="112">
        <v>1040</v>
      </c>
      <c r="N87" s="112">
        <v>350</v>
      </c>
      <c r="O87" s="113">
        <v>1860</v>
      </c>
      <c r="P87" s="35"/>
      <c r="Q87" s="35"/>
      <c r="R87" s="39"/>
    </row>
    <row r="88" spans="1:18" x14ac:dyDescent="0.3">
      <c r="A88" s="111">
        <v>46272</v>
      </c>
      <c r="B88" s="112" t="s">
        <v>279</v>
      </c>
      <c r="C88" s="112">
        <v>227</v>
      </c>
      <c r="D88" s="112">
        <v>227</v>
      </c>
      <c r="E88" s="112">
        <v>229</v>
      </c>
      <c r="F88" s="112">
        <v>5.15</v>
      </c>
      <c r="G88" s="112">
        <v>6.21</v>
      </c>
      <c r="H88" s="112">
        <v>6.44</v>
      </c>
      <c r="I88" s="113">
        <v>0</v>
      </c>
      <c r="J88" s="112">
        <v>0.77500000000000002</v>
      </c>
      <c r="K88" s="112">
        <v>0.247</v>
      </c>
      <c r="L88" s="113">
        <v>590</v>
      </c>
      <c r="M88" s="112">
        <v>960</v>
      </c>
      <c r="N88" s="112">
        <v>380</v>
      </c>
      <c r="O88" s="113">
        <v>1930</v>
      </c>
      <c r="P88" s="31"/>
      <c r="Q88" s="31"/>
      <c r="R88" s="38"/>
    </row>
    <row r="89" spans="1:18" x14ac:dyDescent="0.3">
      <c r="A89" s="111">
        <v>46272</v>
      </c>
      <c r="B89" s="112" t="s">
        <v>280</v>
      </c>
      <c r="C89" s="112">
        <v>228</v>
      </c>
      <c r="D89" s="112">
        <v>228</v>
      </c>
      <c r="E89" s="112">
        <v>230</v>
      </c>
      <c r="F89" s="112">
        <v>5.69</v>
      </c>
      <c r="G89" s="112">
        <v>6.14</v>
      </c>
      <c r="H89" s="112">
        <v>6.81</v>
      </c>
      <c r="I89" s="113">
        <v>0</v>
      </c>
      <c r="J89" s="112">
        <v>0.73160000000000003</v>
      </c>
      <c r="K89" s="112">
        <v>0.1169</v>
      </c>
      <c r="L89" s="113">
        <v>440</v>
      </c>
      <c r="M89" s="112">
        <v>780</v>
      </c>
      <c r="N89" s="112">
        <v>250</v>
      </c>
      <c r="O89" s="113">
        <v>1470</v>
      </c>
      <c r="P89" s="35"/>
      <c r="Q89" s="35"/>
      <c r="R89" s="39"/>
    </row>
    <row r="90" spans="1:18" x14ac:dyDescent="0.3">
      <c r="A90" s="111">
        <v>46272</v>
      </c>
      <c r="B90" s="112" t="s">
        <v>281</v>
      </c>
      <c r="C90" s="112">
        <v>228</v>
      </c>
      <c r="D90" s="112">
        <v>228</v>
      </c>
      <c r="E90" s="112">
        <v>230</v>
      </c>
      <c r="F90" s="112">
        <v>5.01</v>
      </c>
      <c r="G90" s="112">
        <v>5.54</v>
      </c>
      <c r="H90" s="112">
        <v>6.08</v>
      </c>
      <c r="I90" s="113">
        <v>0</v>
      </c>
      <c r="J90" s="112">
        <v>0.78400000000000003</v>
      </c>
      <c r="K90" s="112">
        <v>8.2000000000000003E-2</v>
      </c>
      <c r="L90" s="113">
        <v>370</v>
      </c>
      <c r="M90" s="112">
        <v>760</v>
      </c>
      <c r="N90" s="112">
        <v>180</v>
      </c>
      <c r="O90" s="113">
        <v>1310</v>
      </c>
      <c r="P90" s="31"/>
      <c r="Q90" s="31"/>
      <c r="R90" s="38"/>
    </row>
    <row r="91" spans="1:18" x14ac:dyDescent="0.3">
      <c r="A91" s="111">
        <v>46272</v>
      </c>
      <c r="B91" s="112" t="s">
        <v>282</v>
      </c>
      <c r="C91" s="112">
        <v>230</v>
      </c>
      <c r="D91" s="112">
        <v>230</v>
      </c>
      <c r="E91" s="112">
        <v>232</v>
      </c>
      <c r="F91" s="112">
        <v>5.78</v>
      </c>
      <c r="G91" s="112">
        <v>6.01</v>
      </c>
      <c r="H91" s="112">
        <v>6.73</v>
      </c>
      <c r="I91" s="113">
        <v>0</v>
      </c>
      <c r="J91" s="112">
        <v>0.76490000000000002</v>
      </c>
      <c r="K91" s="112">
        <v>0.12139999999999999</v>
      </c>
      <c r="L91" s="113">
        <v>90</v>
      </c>
      <c r="M91" s="112">
        <v>820</v>
      </c>
      <c r="N91" s="112">
        <v>270</v>
      </c>
      <c r="O91" s="113">
        <v>1180</v>
      </c>
      <c r="P91" s="35"/>
      <c r="Q91" s="35"/>
      <c r="R91" s="39"/>
    </row>
    <row r="92" spans="1:18" x14ac:dyDescent="0.3">
      <c r="A92" s="111">
        <v>46272</v>
      </c>
      <c r="B92" s="112" t="s">
        <v>283</v>
      </c>
      <c r="C92" s="112">
        <v>229</v>
      </c>
      <c r="D92" s="112">
        <v>229</v>
      </c>
      <c r="E92" s="112">
        <v>231</v>
      </c>
      <c r="F92" s="112">
        <v>5</v>
      </c>
      <c r="G92" s="112">
        <v>4.78</v>
      </c>
      <c r="H92" s="112">
        <v>5.47</v>
      </c>
      <c r="I92" s="113">
        <v>0</v>
      </c>
      <c r="J92" s="112">
        <v>0.80730000000000002</v>
      </c>
      <c r="K92" s="112">
        <v>6.7100000000000007E-2</v>
      </c>
      <c r="L92" s="113">
        <v>770</v>
      </c>
      <c r="M92" s="112">
        <v>670</v>
      </c>
      <c r="N92" s="112">
        <v>140</v>
      </c>
      <c r="O92" s="113">
        <v>1580</v>
      </c>
      <c r="P92" s="31"/>
      <c r="Q92" s="31"/>
      <c r="R92" s="38"/>
    </row>
    <row r="93" spans="1:18" x14ac:dyDescent="0.3">
      <c r="A93" s="111">
        <v>46272</v>
      </c>
      <c r="B93" s="112" t="s">
        <v>284</v>
      </c>
      <c r="C93" s="112">
        <v>229</v>
      </c>
      <c r="D93" s="112">
        <v>229</v>
      </c>
      <c r="E93" s="112">
        <v>231</v>
      </c>
      <c r="F93" s="112">
        <v>4.3</v>
      </c>
      <c r="G93" s="112">
        <v>1.22</v>
      </c>
      <c r="H93" s="112">
        <v>2.81</v>
      </c>
      <c r="I93" s="113">
        <v>0</v>
      </c>
      <c r="J93" s="112">
        <v>0.9758</v>
      </c>
      <c r="K93" s="112">
        <v>0</v>
      </c>
      <c r="L93" s="113">
        <v>750</v>
      </c>
      <c r="M93" s="112">
        <v>510</v>
      </c>
      <c r="N93" s="112">
        <v>0</v>
      </c>
      <c r="O93" s="113">
        <v>1260</v>
      </c>
      <c r="P93" s="35"/>
      <c r="Q93" s="35"/>
      <c r="R93" s="39"/>
    </row>
    <row r="94" spans="1:18" x14ac:dyDescent="0.3">
      <c r="A94" s="111">
        <v>46272</v>
      </c>
      <c r="B94" s="112" t="s">
        <v>285</v>
      </c>
      <c r="C94" s="112">
        <v>230</v>
      </c>
      <c r="D94" s="112">
        <v>230</v>
      </c>
      <c r="E94" s="112">
        <v>232</v>
      </c>
      <c r="F94" s="112">
        <v>4.32</v>
      </c>
      <c r="G94" s="112">
        <v>0.3</v>
      </c>
      <c r="H94" s="112">
        <v>4.83</v>
      </c>
      <c r="I94" s="113">
        <v>0</v>
      </c>
      <c r="J94" s="112">
        <v>0.99850000000000005</v>
      </c>
      <c r="K94" s="112">
        <v>0.13639999999999999</v>
      </c>
      <c r="L94" s="113">
        <v>710</v>
      </c>
      <c r="M94" s="112">
        <v>500</v>
      </c>
      <c r="N94" s="112">
        <v>310</v>
      </c>
      <c r="O94" s="113">
        <v>1520</v>
      </c>
      <c r="P94" s="31"/>
      <c r="Q94" s="31"/>
      <c r="R94" s="38"/>
    </row>
    <row r="95" spans="1:18" x14ac:dyDescent="0.3">
      <c r="A95" s="111">
        <v>46272</v>
      </c>
      <c r="B95" s="112" t="s">
        <v>286</v>
      </c>
      <c r="C95" s="112">
        <v>229</v>
      </c>
      <c r="D95" s="112">
        <v>229</v>
      </c>
      <c r="E95" s="112">
        <v>231</v>
      </c>
      <c r="F95" s="112">
        <v>4.3</v>
      </c>
      <c r="G95" s="112">
        <v>0.6</v>
      </c>
      <c r="H95" s="112">
        <v>5.14</v>
      </c>
      <c r="I95" s="113">
        <v>0</v>
      </c>
      <c r="J95" s="112">
        <v>0.99490000000000001</v>
      </c>
      <c r="K95" s="112">
        <v>0.15129999999999999</v>
      </c>
      <c r="L95" s="113">
        <v>630</v>
      </c>
      <c r="M95" s="112">
        <v>490</v>
      </c>
      <c r="N95" s="112">
        <v>360</v>
      </c>
      <c r="O95" s="113">
        <v>1480</v>
      </c>
      <c r="P95" s="35"/>
      <c r="Q95" s="35"/>
      <c r="R95" s="39"/>
    </row>
    <row r="96" spans="1:18" x14ac:dyDescent="0.3">
      <c r="A96" s="111">
        <v>46272</v>
      </c>
      <c r="B96" s="112" t="s">
        <v>287</v>
      </c>
      <c r="C96" s="112">
        <v>228</v>
      </c>
      <c r="D96" s="112">
        <v>229</v>
      </c>
      <c r="E96" s="112">
        <v>230</v>
      </c>
      <c r="F96" s="112">
        <v>6.3</v>
      </c>
      <c r="G96" s="112">
        <v>6.5</v>
      </c>
      <c r="H96" s="112">
        <v>10.1</v>
      </c>
      <c r="I96" s="113">
        <v>0</v>
      </c>
      <c r="J96" s="112">
        <v>0.72230000000000005</v>
      </c>
      <c r="K96" s="112">
        <v>0.26929999999999998</v>
      </c>
      <c r="L96" s="113">
        <v>400</v>
      </c>
      <c r="M96" s="112">
        <v>870</v>
      </c>
      <c r="N96" s="112">
        <v>670</v>
      </c>
      <c r="O96" s="113">
        <v>1940</v>
      </c>
      <c r="P96" s="31"/>
      <c r="Q96" s="31"/>
      <c r="R96" s="38"/>
    </row>
    <row r="97" spans="1:18" x14ac:dyDescent="0.3">
      <c r="A97" s="111">
        <v>46272</v>
      </c>
      <c r="B97" s="112" t="s">
        <v>288</v>
      </c>
      <c r="C97" s="112">
        <v>227</v>
      </c>
      <c r="D97" s="112">
        <v>227</v>
      </c>
      <c r="E97" s="112">
        <v>228</v>
      </c>
      <c r="F97" s="112">
        <v>7.59</v>
      </c>
      <c r="G97" s="112">
        <v>8.69</v>
      </c>
      <c r="H97" s="112">
        <v>22.2</v>
      </c>
      <c r="I97" s="113">
        <v>0.26910000000000001</v>
      </c>
      <c r="J97" s="112">
        <v>0.59460000000000002</v>
      </c>
      <c r="K97" s="112">
        <v>0.372</v>
      </c>
      <c r="L97" s="113">
        <v>180</v>
      </c>
      <c r="M97" s="112">
        <v>1040</v>
      </c>
      <c r="N97" s="112">
        <v>1780</v>
      </c>
      <c r="O97" s="113">
        <v>3000</v>
      </c>
      <c r="P97" s="35"/>
      <c r="Q97" s="35"/>
      <c r="R97" s="39"/>
    </row>
    <row r="98" spans="1:18" x14ac:dyDescent="0.3">
      <c r="A98" s="111">
        <v>46272</v>
      </c>
      <c r="B98" s="112" t="s">
        <v>289</v>
      </c>
      <c r="C98" s="112">
        <v>226</v>
      </c>
      <c r="D98" s="112">
        <v>226</v>
      </c>
      <c r="E98" s="112">
        <v>227</v>
      </c>
      <c r="F98" s="112">
        <v>6.6</v>
      </c>
      <c r="G98" s="112">
        <v>7.7</v>
      </c>
      <c r="H98" s="112">
        <v>17</v>
      </c>
      <c r="I98" s="113">
        <v>0</v>
      </c>
      <c r="J98" s="112">
        <v>0.67010000000000003</v>
      </c>
      <c r="K98" s="112">
        <v>0.37869999999999998</v>
      </c>
      <c r="L98" s="113">
        <v>290</v>
      </c>
      <c r="M98" s="112">
        <v>1040</v>
      </c>
      <c r="N98" s="112">
        <v>1240</v>
      </c>
      <c r="O98" s="113">
        <v>2570</v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Mechanical Dept</vt:lpstr>
      <vt:lpstr>Auditorium</vt:lpstr>
      <vt:lpstr>	Lecture Theatre</vt:lpstr>
      <vt:lpstr>	Administration</vt:lpstr>
      <vt:lpstr>	Library</vt:lpstr>
      <vt:lpstr>Guest House</vt:lpstr>
      <vt:lpstr>	Hostel D</vt:lpstr>
      <vt:lpstr>	Hostel C</vt:lpstr>
      <vt:lpstr>Hostal A</vt:lpstr>
      <vt:lpstr>Hostal B</vt:lpstr>
      <vt:lpstr>	Gymnasium</vt:lpstr>
      <vt:lpstr>lower canteen </vt:lpstr>
      <vt:lpstr>Hostal f</vt:lpstr>
      <vt:lpstr>electrical buildin</vt:lpstr>
      <vt:lpstr>LT</vt:lpstr>
      <vt:lpstr>mechanical workshop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2026-07-23T11:02:03Z</dcterms:created>
  <dcterms:modified xsi:type="dcterms:W3CDTF">2026-07-30T17:03:45Z</dcterms:modified>
</cp:coreProperties>
</file>