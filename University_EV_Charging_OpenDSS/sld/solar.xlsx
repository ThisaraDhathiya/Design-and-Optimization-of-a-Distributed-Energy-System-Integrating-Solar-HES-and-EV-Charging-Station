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versity_EV_Charging_OpenDSS\sld\"/>
    </mc:Choice>
  </mc:AlternateContent>
  <xr:revisionPtr revIDLastSave="0" documentId="13_ncr:1_{884216F4-B974-4036-B8F6-BFE5D0D60FCC}" xr6:coauthVersionLast="47" xr6:coauthVersionMax="47" xr10:uidLastSave="{00000000-0000-0000-0000-000000000000}"/>
  <bookViews>
    <workbookView xWindow="-108" yWindow="-108" windowWidth="23256" windowHeight="12456" activeTab="1" xr2:uid="{140424AE-011B-49C3-9DD5-6029319A2577}"/>
  </bookViews>
  <sheets>
    <sheet name="Sheet3" sheetId="3" r:id="rId1"/>
    <sheet name="Sheet4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0" i="4" l="1"/>
  <c r="AB37" i="4"/>
  <c r="AC37" i="4" s="1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Z37" i="4" s="1"/>
  <c r="AA37" i="4" s="1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Z36" i="4" s="1"/>
  <c r="AA36" i="4" s="1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Z35" i="4" s="1"/>
  <c r="AA35" i="4" s="1"/>
  <c r="AB34" i="4"/>
  <c r="AC34" i="4" s="1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Z34" i="4" s="1"/>
  <c r="AA34" i="4" s="1"/>
  <c r="AB33" i="4"/>
  <c r="AC33" i="4" s="1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Z33" i="4" s="1"/>
  <c r="AA33" i="4" s="1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Z32" i="4" s="1"/>
  <c r="AA32" i="4" s="1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Z31" i="4" s="1"/>
  <c r="AA31" i="4" s="1"/>
  <c r="AB30" i="4"/>
  <c r="AC30" i="4" s="1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Z30" i="4" s="1"/>
  <c r="AA30" i="4" s="1"/>
  <c r="AB29" i="4"/>
  <c r="AC29" i="4" s="1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40" i="4" s="1"/>
  <c r="G29" i="4"/>
  <c r="F29" i="4"/>
  <c r="E29" i="4"/>
  <c r="D29" i="4"/>
  <c r="C29" i="4"/>
  <c r="B29" i="4"/>
  <c r="Z29" i="4" s="1"/>
  <c r="AA29" i="4" s="1"/>
  <c r="AF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Z28" i="4" s="1"/>
  <c r="AA28" i="4" s="1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Z27" i="4" s="1"/>
  <c r="AA27" i="4" s="1"/>
  <c r="AC26" i="4"/>
  <c r="AB26" i="4"/>
  <c r="Y26" i="4"/>
  <c r="X26" i="4"/>
  <c r="W26" i="4"/>
  <c r="V26" i="4"/>
  <c r="U26" i="4"/>
  <c r="T26" i="4"/>
  <c r="S26" i="4"/>
  <c r="R26" i="4"/>
  <c r="Q26" i="4"/>
  <c r="P26" i="4"/>
  <c r="O26" i="4"/>
  <c r="N26" i="4"/>
  <c r="H40" i="4" s="1"/>
  <c r="M26" i="4"/>
  <c r="L26" i="4"/>
  <c r="K26" i="4"/>
  <c r="J26" i="4"/>
  <c r="I26" i="4"/>
  <c r="H26" i="4"/>
  <c r="G26" i="4"/>
  <c r="F26" i="4"/>
  <c r="E26" i="4"/>
  <c r="D26" i="4"/>
  <c r="C26" i="4"/>
  <c r="B26" i="4"/>
  <c r="Z26" i="4" s="1"/>
  <c r="AA26" i="4" s="1"/>
  <c r="B19" i="4"/>
  <c r="AQ17" i="4"/>
  <c r="Z17" i="4"/>
  <c r="AQ16" i="4"/>
  <c r="Z16" i="4"/>
  <c r="AQ15" i="4"/>
  <c r="Z15" i="4"/>
  <c r="AB36" i="4" s="1"/>
  <c r="AC36" i="4" s="1"/>
  <c r="AQ14" i="4"/>
  <c r="Z14" i="4"/>
  <c r="AB35" i="4" s="1"/>
  <c r="AC35" i="4" s="1"/>
  <c r="AQ13" i="4"/>
  <c r="Z13" i="4"/>
  <c r="AQ12" i="4"/>
  <c r="Z12" i="4"/>
  <c r="AQ11" i="4"/>
  <c r="Z11" i="4"/>
  <c r="AB32" i="4" s="1"/>
  <c r="AC32" i="4" s="1"/>
  <c r="AQ10" i="4"/>
  <c r="Z10" i="4"/>
  <c r="AB31" i="4" s="1"/>
  <c r="AC31" i="4" s="1"/>
  <c r="AQ9" i="4"/>
  <c r="Z9" i="4"/>
  <c r="AQ8" i="4"/>
  <c r="Z8" i="4"/>
  <c r="AQ7" i="4"/>
  <c r="Z7" i="4"/>
  <c r="AB28" i="4" s="1"/>
  <c r="AC28" i="4" s="1"/>
  <c r="AQ6" i="4"/>
  <c r="Z6" i="4"/>
  <c r="AB27" i="4" s="1"/>
  <c r="AC27" i="4" s="1"/>
  <c r="AQ5" i="4"/>
  <c r="Z5" i="4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<sst xmlns="http://schemas.openxmlformats.org/spreadsheetml/2006/main" count="176" uniqueCount="77">
  <si>
    <t>Month</t>
  </si>
  <si>
    <t>Generation (KWh)</t>
  </si>
  <si>
    <t>Days</t>
  </si>
  <si>
    <t>Avg Power (KW)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</si>
  <si>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</si>
  <si>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</si>
  <si>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</si>
  <si>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</si>
  <si>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</si>
  <si>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</si>
  <si>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</si>
  <si>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</si>
  <si>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</si>
  <si>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</si>
  <si>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</si>
  <si>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</si>
  <si>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</si>
  <si>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Yearly Genearation(Energy)</t>
  </si>
  <si>
    <t>3.3 GWh</t>
  </si>
  <si>
    <t>Monthly Sum of the Entier Faculty (MWh)</t>
  </si>
  <si>
    <t>0H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</si>
  <si>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</si>
  <si>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</si>
  <si>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</si>
  <si>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</si>
  <si>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</si>
  <si>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</si>
  <si>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</si>
  <si>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</si>
  <si>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</si>
  <si>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</si>
  <si>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</si>
  <si>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</si>
  <si>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</si>
  <si>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</si>
  <si>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</si>
  <si>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</si>
  <si>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</si>
  <si>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</si>
  <si>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</si>
  <si>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</si>
  <si>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</si>
  <si>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</si>
  <si>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</si>
  <si>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Total (MWh)</t>
  </si>
  <si>
    <t>Generation(MWh)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</si>
  <si>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</si>
  <si>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</si>
  <si>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</si>
  <si>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</si>
  <si>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</si>
  <si>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</si>
  <si>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</si>
  <si>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</si>
  <si>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</si>
  <si>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</si>
  <si>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</si>
  <si>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 Generation</t>
  </si>
  <si>
    <t>GWh</t>
  </si>
  <si>
    <t>Roughly consider One Day of Month (KWh)</t>
  </si>
  <si>
    <t>Divided by real Days</t>
  </si>
  <si>
    <t>Divided by 30.42                                      (Avg days of a month)</t>
  </si>
  <si>
    <t>Total (kWh)/day</t>
  </si>
  <si>
    <t>Total (kW)/day</t>
  </si>
  <si>
    <t>Generation(KWh)</t>
  </si>
  <si>
    <t>6H (KW)</t>
  </si>
  <si>
    <t>7H (KW)</t>
  </si>
  <si>
    <t>8H (KW)</t>
  </si>
  <si>
    <t>9H (KW)</t>
  </si>
  <si>
    <t>10H (KW)</t>
  </si>
  <si>
    <t>11H (KW)</t>
  </si>
  <si>
    <t>12H (KW)</t>
  </si>
  <si>
    <t>13H (KW)</t>
  </si>
  <si>
    <t>14H (KW)</t>
  </si>
  <si>
    <t>15H (KW)</t>
  </si>
  <si>
    <t>16H (KW)</t>
  </si>
  <si>
    <t>17H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</si>
</sst>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2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3" fontId="3" fillId="0" borderId="3" xfId="0" applyNumberFormat="1" applyFont="1" applyBorder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4" fontId="0" fillId="0" borderId="0" xfId="0" applyNumberFormat="1"/>
    <xf numFmtId="0" fontId="4" fillId="0" borderId="2" xfId="0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165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4" fontId="0" fillId="0" borderId="0" xfId="0" applyNumberFormat="1" applyAlignment="1">
      <alignment horizontal="center" vertical="center"/>
    </xf>
    <xf numFmtId="0" fontId="1" fillId="4" borderId="1" xfId="0" applyFont="1" applyFill="1" applyBorder="1"/>
    <xf numFmtId="4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4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'[1]Monthly and Annualy'!$C$2</c:f>
              <c:strCache>
                <c:ptCount val="1"/>
                <c:pt idx="0">
                  <c:v>Generation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'[1]Monthly and Annualy'!$B$3:$B$14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'[1]Monthly and Annualy'!$C$3:$C$14</c:f>
              <c:numCache>
                <c:formatCode>General</c:formatCode>
                <c:ptCount val="12"/>
                <c:pt idx="0">
                  <c:v>344447</c:v>
                </c:pt>
                <c:pt idx="1">
                  <c:v>314721</c:v>
                </c:pt>
                <c:pt idx="2">
                  <c:v>332513</c:v>
                </c:pt>
                <c:pt idx="3">
                  <c:v>249986</c:v>
                </c:pt>
                <c:pt idx="4">
                  <c:v>225347</c:v>
                </c:pt>
                <c:pt idx="5">
                  <c:v>240258</c:v>
                </c:pt>
                <c:pt idx="6">
                  <c:v>253791</c:v>
                </c:pt>
                <c:pt idx="7">
                  <c:v>264490</c:v>
                </c:pt>
                <c:pt idx="8">
                  <c:v>272776</c:v>
                </c:pt>
                <c:pt idx="9">
                  <c:v>289532</c:v>
                </c:pt>
                <c:pt idx="10">
                  <c:v>296272</c:v>
                </c:pt>
                <c:pt idx="11">
                  <c:v>304009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0-420C-ADE2-1988DBDA6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330352"/>
        <c:axId val="797330832"/>
      </c:barChart>
      <c:catAx>
        <c:axId val="79733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330832"/>
        <c:crosses val="autoZero"/>
        <c:auto val="1"/>
        <c:lblAlgn val="ctr"/>
        <c:lblOffset val="100"/>
        <c:noMultiLvlLbl val="0"/>
      </c:catAx>
      <c:valAx>
        <c:axId val="7973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Generation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330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'[1]Monthly and Annualy'!$E$2</c:f>
              <c:strCache>
                <c:ptCount val="1"/>
                <c:pt idx="0">
                  <c:v>Avg Power (KW)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'[1]Monthly and Annualy'!$B$3:$B$14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'[1]Monthly and Annualy'!$E$3:$E$14</c:f>
              <c:numCache>
                <c:formatCode>General</c:formatCode>
                <c:ptCount val="12"/>
                <c:pt idx="0">
                  <c:v>462.96639784946234</c:v>
                </c:pt>
                <c:pt idx="1">
                  <c:v>468.33482142857144</c:v>
                </c:pt>
                <c:pt idx="2">
                  <c:v>446.92607526881721</c:v>
                </c:pt>
                <c:pt idx="3">
                  <c:v>347.20277777777778</c:v>
                </c:pt>
                <c:pt idx="4">
                  <c:v>302.88575268817203</c:v>
                </c:pt>
                <c:pt idx="5">
                  <c:v>333.69166666666666</c:v>
                </c:pt>
                <c:pt idx="6">
                  <c:v>341.11693548387098</c:v>
                </c:pt>
                <c:pt idx="7">
                  <c:v>355.49731182795699</c:v>
                </c:pt>
                <c:pt idx="8">
                  <c:v>378.85555555555555</c:v>
                </c:pt>
                <c:pt idx="9">
                  <c:v>389.1559139784946</c:v>
                </c:pt>
                <c:pt idx="10">
                  <c:v>411.48888888888888</c:v>
                </c:pt>
                <c:pt idx="11">
                  <c:v>408.61424731182797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C-4BF2-86E2-606275422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506815"/>
        <c:axId val="421508255"/>
      </c:barChart>
      <c:catAx>
        <c:axId val="42150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08255"/>
        <c:crosses val="autoZero"/>
        <c:auto val="1"/>
        <c:lblAlgn val="ctr"/>
        <c:lblOffset val="100"/>
        <c:noMultiLvlLbl val="0"/>
      </c:catAx>
      <c:valAx>
        <c:axId val="4215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06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Per Month (MWh)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[1]Hourly_SUM!$AQ$4</c:f>
              <c:strCache>
                <c:ptCount val="1"/>
                <c:pt idx="0">
                  <c:v>Generation(MWh)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[1]Hourly_SUM!$AP$5:$AP$16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[1]Hourly_SUM!$AQ$5:$AQ$16</c:f>
              <c:numCache>
                <c:formatCode>General</c:formatCode>
                <c:ptCount val="12"/>
                <c:pt idx="0">
                  <c:v>330.8</c:v>
                </c:pt>
                <c:pt idx="1">
                  <c:v>301.7</c:v>
                </c:pt>
                <c:pt idx="2">
                  <c:v>318</c:v>
                </c:pt>
                <c:pt idx="3">
                  <c:v>245.79999999999998</c:v>
                </c:pt>
                <c:pt idx="4">
                  <c:v>227.6</c:v>
                </c:pt>
                <c:pt idx="5">
                  <c:v>244.3</c:v>
                </c:pt>
                <c:pt idx="6">
                  <c:v>257.8</c:v>
                </c:pt>
                <c:pt idx="7">
                  <c:v>268.10000000000002</c:v>
                </c:pt>
                <c:pt idx="8">
                  <c:v>271.59999999999997</c:v>
                </c:pt>
                <c:pt idx="9">
                  <c:v>283.89999999999992</c:v>
                </c:pt>
                <c:pt idx="10">
                  <c:v>289.70000000000005</c:v>
                </c:pt>
                <c:pt idx="11">
                  <c:v>296.89999999999998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C-466D-B16E-28F6101D8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510592"/>
        <c:axId val="934504832"/>
      </c:barChart>
      <c:catAx>
        <c:axId val="9345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04832"/>
        <c:crosses val="autoZero"/>
        <c:auto val="1"/>
        <c:lblAlgn val="ctr"/>
        <c:lblOffset val="100"/>
        <c:noMultiLvlLbl val="0"/>
      </c:catAx>
      <c:valAx>
        <c:axId val="9345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0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Generation Per</a:t>
            </a:r>
            <a:r>
              <a:rPr lang="en-US" baseline="0"/>
              <a:t> Day </a:t>
            </a:r>
            <a:r>
              <a:rPr lang="en-US"/>
              <a:t>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[1]Hourly_SUM!$K$43</c:f>
              <c:strCache>
                <c:ptCount val="1"/>
                <c:pt idx="0">
                  <c:v>Generation(KWh)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[1]Hourly_SUM!$J$44:$J$55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[1]Hourly_SUM!$K$44:$K$55</c:f>
              <c:numCache>
                <c:formatCode>General</c:formatCode>
                <c:ptCount val="12"/>
                <c:pt idx="0">
                  <c:v>10670.967741935485</c:v>
                </c:pt>
                <c:pt idx="1">
                  <c:v>10775</c:v>
                </c:pt>
                <c:pt idx="2">
                  <c:v>10258.064516129032</c:v>
                </c:pt>
                <c:pt idx="3">
                  <c:v>8193.3333333333321</c:v>
                </c:pt>
                <c:pt idx="4">
                  <c:v>7341.9354838709669</c:v>
                </c:pt>
                <c:pt idx="5">
                  <c:v>8143.333333333333</c:v>
                </c:pt>
                <c:pt idx="6">
                  <c:v>8316.1290322580644</c:v>
                </c:pt>
                <c:pt idx="7">
                  <c:v>8648.387096774195</c:v>
                </c:pt>
                <c:pt idx="8">
                  <c:v>9053.3333333333321</c:v>
                </c:pt>
                <c:pt idx="9">
                  <c:v>9158.0645161290322</c:v>
                </c:pt>
                <c:pt idx="10">
                  <c:v>9656.6666666666679</c:v>
                </c:pt>
                <c:pt idx="11">
                  <c:v>9577.4193548387102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3-4F8A-9A37-BDDF64BA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03039"/>
        <c:axId val="1926802079"/>
      </c:barChart>
      <c:catAx>
        <c:axId val="192680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02079"/>
        <c:crosses val="autoZero"/>
        <c:auto val="1"/>
        <c:lblAlgn val="ctr"/>
        <c:lblOffset val="100"/>
        <c:noMultiLvlLbl val="0"/>
      </c:catAx>
      <c:valAx>
        <c:axId val="19268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Gen Per Day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803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10H to 14H PV Gen Power</a:t>
            </a:r>
            <a:r>
              <a:rPr lang="en-GB" baseline="0"/>
              <a:t> per Day for 12 Months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[1]Hourly_SUM!$K$63</c:f>
              <c:strCache>
                <c:ptCount val="1"/>
                <c:pt idx="0">
                  <c:v>10H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[1]Hourly_SUM!$J$64:$J$75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[1]Hourly_SUM!$K$64:$K$75</c:f>
              <c:numCache>
                <c:formatCode>General</c:formatCode>
                <c:ptCount val="12"/>
                <c:pt idx="0">
                  <c:v>1341.9354838709678</c:v>
                </c:pt>
                <c:pt idx="1">
                  <c:v>1353.5714285714287</c:v>
                </c:pt>
                <c:pt idx="2">
                  <c:v>1287.0967741935483</c:v>
                </c:pt>
                <c:pt idx="3">
                  <c:v>1030</c:v>
                </c:pt>
                <c:pt idx="4">
                  <c:v>922.58064516129036</c:v>
                </c:pt>
                <c:pt idx="5">
                  <c:v>1023.3333333333334</c:v>
                </c:pt>
                <c:pt idx="6">
                  <c:v>1045.1612903225807</c:v>
                </c:pt>
                <c:pt idx="7">
                  <c:v>1087.0967741935483</c:v>
                </c:pt>
                <c:pt idx="8">
                  <c:v>1140</c:v>
                </c:pt>
                <c:pt idx="9">
                  <c:v>1151.6129032258063</c:v>
                </c:pt>
                <c:pt idx="10">
                  <c:v>1210</c:v>
                </c:pt>
                <c:pt idx="11">
                  <c:v>1206.4516129032259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5-4583-B1D4-10555C20A3FD}"/>
            </c:ext>
          </c:extLst>
        </c:ser>
        <c:ser>
          <c:idx val="1"/>
          <c:order val="1"/>
          <c:tx>
            <c:strRef>
              <c:f>[1]Hourly_SUM!$L$63</c:f>
              <c:strCache>
                <c:ptCount val="1"/>
                <c:pt idx="0">
                  <c:v>11H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[1]Hourly_SUM!$J$64:$J$75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[1]Hourly_SUM!$L$64:$L$75</c:f>
              <c:numCache>
                <c:formatCode>General</c:formatCode>
                <c:ptCount val="12"/>
                <c:pt idx="0">
                  <c:v>1409.6774193548388</c:v>
                </c:pt>
                <c:pt idx="1">
                  <c:v>1425</c:v>
                </c:pt>
                <c:pt idx="2">
                  <c:v>1354.8387096774193</c:v>
                </c:pt>
                <c:pt idx="3">
                  <c:v>1083.3333333333333</c:v>
                </c:pt>
                <c:pt idx="4">
                  <c:v>974.19354838709683</c:v>
                </c:pt>
                <c:pt idx="5">
                  <c:v>1080</c:v>
                </c:pt>
                <c:pt idx="6">
                  <c:v>1103.2258064516129</c:v>
                </c:pt>
                <c:pt idx="7">
                  <c:v>1148.3870967741937</c:v>
                </c:pt>
                <c:pt idx="8">
                  <c:v>1196.6666666666667</c:v>
                </c:pt>
                <c:pt idx="9">
                  <c:v>1212.9032258064517</c:v>
                </c:pt>
                <c:pt idx="10">
                  <c:v>1276.6666666666667</c:v>
                </c:pt>
                <c:pt idx="11">
                  <c:v>1270.9677419354839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5-4583-B1D4-10555C20A3FD}"/>
            </c:ext>
          </c:extLst>
        </c:ser>
        <c:ser>
          <c:idx val="2"/>
          <c:order val="2"/>
          <c:tx>
            <c:strRef>
              <c:f>[1]Hourly_SUM!$M$63</c:f>
              <c:strCache>
                <c:ptCount val="1"/>
                <c:pt idx="0">
                  <c:v>12H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[1]Hourly_SUM!$J$64:$J$75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[1]Hourly_SUM!$M$64:$M$75</c:f>
              <c:numCache>
                <c:formatCode>General</c:formatCode>
                <c:ptCount val="12"/>
                <c:pt idx="0">
                  <c:v>1425.8064516129032</c:v>
                </c:pt>
                <c:pt idx="1">
                  <c:v>1439.2857142857142</c:v>
                </c:pt>
                <c:pt idx="2">
                  <c:v>1367.741935483871</c:v>
                </c:pt>
                <c:pt idx="3">
                  <c:v>1093.3333333333333</c:v>
                </c:pt>
                <c:pt idx="4">
                  <c:v>983.87096774193549</c:v>
                </c:pt>
                <c:pt idx="5">
                  <c:v>1090.0000000000002</c:v>
                </c:pt>
                <c:pt idx="6">
                  <c:v>1112.9032258064517</c:v>
                </c:pt>
                <c:pt idx="7">
                  <c:v>1158.0645161290322</c:v>
                </c:pt>
                <c:pt idx="8">
                  <c:v>1206.6666666666667</c:v>
                </c:pt>
                <c:pt idx="9">
                  <c:v>1222.5806451612902</c:v>
                </c:pt>
                <c:pt idx="10">
                  <c:v>1290</c:v>
                </c:pt>
                <c:pt idx="11">
                  <c:v>1277.4193548387098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95-4583-B1D4-10555C20A3FD}"/>
            </c:ext>
          </c:extLst>
        </c:ser>
        <c:ser>
          <c:idx val="3"/>
          <c:order val="3"/>
          <c:tx>
            <c:strRef>
              <c:f>[1]Hourly_SUM!$N$63</c:f>
              <c:strCache>
                <c:ptCount val="1"/>
                <c:pt idx="0">
                  <c:v>13H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[1]Hourly_SUM!$J$64:$J$75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[1]Hourly_SUM!$N$64:$N$75</c:f>
              <c:numCache>
                <c:formatCode>General</c:formatCode>
                <c:ptCount val="12"/>
                <c:pt idx="0">
                  <c:v>1335.483870967742</c:v>
                </c:pt>
                <c:pt idx="1">
                  <c:v>1350</c:v>
                </c:pt>
                <c:pt idx="2">
                  <c:v>1283.8709677419354</c:v>
                </c:pt>
                <c:pt idx="3">
                  <c:v>1026.6666666666667</c:v>
                </c:pt>
                <c:pt idx="4">
                  <c:v>919.35483870967744</c:v>
                </c:pt>
                <c:pt idx="5">
                  <c:v>1023.3333333333334</c:v>
                </c:pt>
                <c:pt idx="6">
                  <c:v>1045.1612903225807</c:v>
                </c:pt>
                <c:pt idx="7">
                  <c:v>1083.8709677419354</c:v>
                </c:pt>
                <c:pt idx="8">
                  <c:v>1133.3333333333333</c:v>
                </c:pt>
                <c:pt idx="9">
                  <c:v>1148.3870967741937</c:v>
                </c:pt>
                <c:pt idx="10">
                  <c:v>1210</c:v>
                </c:pt>
                <c:pt idx="1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5-4583-B1D4-10555C20A3FD}"/>
            </c:ext>
          </c:extLst>
        </c:ser>
        <c:ser>
          <c:idx val="4"/>
          <c:order val="4"/>
          <c:tx>
            <c:strRef>
              <c:f>[1]Hourly_SUM!$O$63</c:f>
              <c:strCache>
                <c:ptCount val="1"/>
                <c:pt idx="0">
                  <c:v>14H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[1]Hourly_SUM!$J$64:$J$75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[1]Hourly_SUM!$O$64:$O$75</c:f>
              <c:numCache>
                <c:formatCode>General</c:formatCode>
                <c:ptCount val="12"/>
                <c:pt idx="0">
                  <c:v>1206.4516129032259</c:v>
                </c:pt>
                <c:pt idx="1">
                  <c:v>1221.4285714285713</c:v>
                </c:pt>
                <c:pt idx="2">
                  <c:v>1164.516129032258</c:v>
                </c:pt>
                <c:pt idx="3">
                  <c:v>930</c:v>
                </c:pt>
                <c:pt idx="4">
                  <c:v>832.25806451612902</c:v>
                </c:pt>
                <c:pt idx="5">
                  <c:v>923.33333333333337</c:v>
                </c:pt>
                <c:pt idx="6">
                  <c:v>941.93548387096769</c:v>
                </c:pt>
                <c:pt idx="7">
                  <c:v>980.64516129032256</c:v>
                </c:pt>
                <c:pt idx="8">
                  <c:v>1023.3333333333334</c:v>
                </c:pt>
                <c:pt idx="9">
                  <c:v>1035.483870967742</c:v>
                </c:pt>
                <c:pt idx="10">
                  <c:v>1093.3333333333333</c:v>
                </c:pt>
                <c:pt idx="11">
                  <c:v>1083.8709677419354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5-4583-B1D4-10555C20A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02575"/>
        <c:axId val="68704975"/>
      </c:barChart>
      <c:catAx>
        <c:axId val="6870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49150984771767003"/>
              <c:y val="0.87779664162894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4975"/>
        <c:crosses val="autoZero"/>
        <c:auto val="1"/>
        <c:lblAlgn val="ctr"/>
        <c:lblOffset val="100"/>
        <c:noMultiLvlLbl val="0"/>
      </c:catAx>
      <c:valAx>
        <c:axId val="687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KW Values Per Day</a:t>
                </a:r>
              </a:p>
            </c:rich>
          </c:tx>
          <c:layout>
            <c:manualLayout>
              <c:xMode val="edge"/>
              <c:yMode val="edge"/>
              <c:x val="8.7736160095694595E-3"/>
              <c:y val="0.32653792396892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2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</xdr:row>
      <xdr:rowOff>72390</xdr:rowOff>
    </xdr:from>
    <xdr:to>
      <xdr:col>18</xdr:col>
      <xdr:colOff>251460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D23D5-3028-4B94-A520-D37F0DB6A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20</xdr:row>
      <xdr:rowOff>125730</xdr:rowOff>
    </xdr:from>
    <xdr:to>
      <xdr:col>18</xdr:col>
      <xdr:colOff>205740</xdr:colOff>
      <xdr:row>38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20356-5044-49A5-8E68-6429E54B1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190500</xdr:colOff>
      <xdr:row>2</xdr:row>
      <xdr:rowOff>148590</xdr:rowOff>
    </xdr:from>
    <xdr:to>
      <xdr:col>38</xdr:col>
      <xdr:colOff>228600</xdr:colOff>
      <xdr:row>18</xdr:row>
      <xdr:rowOff>342900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99A78-DFA7-410A-944D-6B9E1F1FD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38</xdr:row>
      <xdr:rowOff>95250</xdr:rowOff>
    </xdr:from>
    <xdr:to>
      <xdr:col>25</xdr:col>
      <xdr:colOff>358140</xdr:colOff>
      <xdr:row>58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E82A8-2809-4C7A-9FD6-7F0F9E35C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161744</xdr:colOff>
      <xdr:row>61</xdr:row>
      <xdr:rowOff>51757</xdr:rowOff>
    </xdr:from>
    <xdr:to>
      <xdr:col>29</xdr:col>
      <xdr:colOff>553528</xdr:colOff>
      <xdr:row>86</xdr:row>
      <xdr:rowOff>35943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720445-A703-4B2F-B9BC-23B7F33EC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Packages/5319275A.WhatsAppDesktop_cv1g1gvanyjgm/LocalState/sessions/13D5D6E2087FE1BCB7E4C8EC212A2BBBBDC6BC13/transfers/2026-22/All%20Details_Demand%20data%2001_04_26%20to%2021_04_26_NEW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07_KVA,KW,KVAr Day by Day"/>
      <sheetName val="Avg Gen Per Day"/>
      <sheetName val="09-21_KVA,KW,KVAr Day by Day"/>
      <sheetName val="Monthly and Annualy"/>
      <sheetName val="Hourly_SUM"/>
      <sheetName val="Options"/>
      <sheetName val="Roof Top Areas"/>
      <sheetName val="Elecricity Units for each Build"/>
      <sheetName val="KVA Values"/>
      <sheetName val="KW Values"/>
      <sheetName val="KVAr Values"/>
      <sheetName val="01-04 to 08_04 Demand Data"/>
    </sheetNames>
    <sheetDataSet>
      <sheetData sheetId="0"/>
      <sheetData sheetId="1"/>
      <sheetData sheetId="2"/>
      <sheetData sheetId="3">
        <row r="2">
          <cell r="C2" t="str">
            <v>Generation (KWh)</v>
          </cell>
          <cell r="E2" t="str">
            <v>Avg Power (KW)</v>
          </cell>
        </row>
        <row r="3">
          <cell r="B3" t="str">
            <v>Jan</v>
          </cell>
          <cell r="C3">
            <v>344447</v>
          </cell>
          <cell r="E3">
            <v>462.96639784946234</v>
          </cell>
        </row>
        <row r="4">
          <cell r="B4" t="str">
            <v>Feb</v>
          </cell>
          <cell r="C4">
            <v>314721</v>
          </cell>
          <cell r="E4">
            <v>468.33482142857144</v>
          </cell>
        </row>
        <row r="5">
          <cell r="B5" t="str">
            <v>Mar</v>
          </cell>
          <cell r="C5">
            <v>332513</v>
          </cell>
          <cell r="E5">
            <v>446.92607526881721</v>
          </cell>
        </row>
        <row r="6">
          <cell r="B6" t="str">
            <v>Apr</v>
          </cell>
          <cell r="C6">
            <v>249986</v>
          </cell>
          <cell r="E6">
            <v>347.20277777777778</v>
          </cell>
        </row>
        <row r="7">
          <cell r="B7" t="str">
            <v>May</v>
          </cell>
          <cell r="C7">
            <v>225347</v>
          </cell>
          <cell r="E7">
            <v>302.88575268817203</v>
          </cell>
        </row>
        <row r="8">
          <cell r="B8" t="str">
            <v>Jun</v>
          </cell>
          <cell r="C8">
            <v>240258</v>
          </cell>
          <cell r="E8">
            <v>333.69166666666666</v>
          </cell>
        </row>
        <row r="9">
          <cell r="B9" t="str">
            <v>Jul</v>
          </cell>
          <cell r="C9">
            <v>253791</v>
          </cell>
          <cell r="E9">
            <v>341.11693548387098</v>
          </cell>
        </row>
        <row r="10">
          <cell r="B10" t="str">
            <v>Aug</v>
          </cell>
          <cell r="C10">
            <v>264490</v>
          </cell>
          <cell r="E10">
            <v>355.49731182795699</v>
          </cell>
        </row>
        <row r="11">
          <cell r="B11" t="str">
            <v>Sep</v>
          </cell>
          <cell r="C11">
            <v>272776</v>
          </cell>
          <cell r="E11">
            <v>378.85555555555555</v>
          </cell>
        </row>
        <row r="12">
          <cell r="B12" t="str">
            <v>Oct</v>
          </cell>
          <cell r="C12">
            <v>289532</v>
          </cell>
          <cell r="E12">
            <v>389.1559139784946</v>
          </cell>
        </row>
        <row r="13">
          <cell r="B13" t="str">
            <v>Nov</v>
          </cell>
          <cell r="C13">
            <v>296272</v>
          </cell>
          <cell r="E13">
            <v>411.48888888888888</v>
          </cell>
        </row>
        <row r="14">
          <cell r="B14" t="str">
            <v>Dec</v>
          </cell>
          <cell r="C14">
            <v>304009</v>
          </cell>
          <cell r="E14">
            <v>408.61424731182797</v>
          </cell>
        </row>
      </sheetData>
      <sheetData sheetId="4">
        <row r="4">
          <cell r="AQ4" t="str">
            <v>Generation(MWh)</v>
          </cell>
        </row>
        <row r="5">
          <cell r="AP5" t="str">
            <v>January</v>
          </cell>
          <cell r="AQ5">
            <v>330.8</v>
          </cell>
        </row>
        <row r="6">
          <cell r="AP6" t="str">
            <v>February</v>
          </cell>
          <cell r="AQ6">
            <v>301.7</v>
          </cell>
        </row>
        <row r="7">
          <cell r="AP7" t="str">
            <v>March</v>
          </cell>
          <cell r="AQ7">
            <v>318</v>
          </cell>
        </row>
        <row r="8">
          <cell r="AP8" t="str">
            <v>April</v>
          </cell>
          <cell r="AQ8">
            <v>245.79999999999998</v>
          </cell>
        </row>
        <row r="9">
          <cell r="AP9" t="str">
            <v>May</v>
          </cell>
          <cell r="AQ9">
            <v>227.6</v>
          </cell>
        </row>
        <row r="10">
          <cell r="AP10" t="str">
            <v>June</v>
          </cell>
          <cell r="AQ10">
            <v>244.3</v>
          </cell>
        </row>
        <row r="11">
          <cell r="AP11" t="str">
            <v>July</v>
          </cell>
          <cell r="AQ11">
            <v>257.8</v>
          </cell>
        </row>
        <row r="12">
          <cell r="AP12" t="str">
            <v>August</v>
          </cell>
          <cell r="AQ12">
            <v>268.10000000000002</v>
          </cell>
        </row>
        <row r="13">
          <cell r="AP13" t="str">
            <v>September</v>
          </cell>
          <cell r="AQ13">
            <v>271.59999999999997</v>
          </cell>
        </row>
        <row r="14">
          <cell r="AP14" t="str">
            <v>October</v>
          </cell>
          <cell r="AQ14">
            <v>283.89999999999992</v>
          </cell>
        </row>
        <row r="15">
          <cell r="AP15" t="str">
            <v>November</v>
          </cell>
          <cell r="AQ15">
            <v>289.70000000000005</v>
          </cell>
        </row>
        <row r="16">
          <cell r="AP16" t="str">
            <v>December</v>
          </cell>
          <cell r="AQ16">
            <v>296.89999999999998</v>
          </cell>
        </row>
        <row r="43">
          <cell r="K43" t="str">
            <v>Generation(KWh)</v>
          </cell>
        </row>
        <row r="44">
          <cell r="J44" t="str">
            <v>January</v>
          </cell>
          <cell r="K44">
            <v>10670.967741935485</v>
          </cell>
        </row>
        <row r="45">
          <cell r="J45" t="str">
            <v>February</v>
          </cell>
          <cell r="K45">
            <v>10775</v>
          </cell>
        </row>
        <row r="46">
          <cell r="J46" t="str">
            <v>March</v>
          </cell>
          <cell r="K46">
            <v>10258.064516129032</v>
          </cell>
        </row>
        <row r="47">
          <cell r="J47" t="str">
            <v>April</v>
          </cell>
          <cell r="K47">
            <v>8193.3333333333321</v>
          </cell>
        </row>
        <row r="48">
          <cell r="J48" t="str">
            <v>May</v>
          </cell>
          <cell r="K48">
            <v>7341.9354838709669</v>
          </cell>
        </row>
        <row r="49">
          <cell r="J49" t="str">
            <v>June</v>
          </cell>
          <cell r="K49">
            <v>8143.333333333333</v>
          </cell>
        </row>
        <row r="50">
          <cell r="J50" t="str">
            <v>July</v>
          </cell>
          <cell r="K50">
            <v>8316.1290322580644</v>
          </cell>
        </row>
        <row r="51">
          <cell r="J51" t="str">
            <v>August</v>
          </cell>
          <cell r="K51">
            <v>8648.387096774195</v>
          </cell>
        </row>
        <row r="52">
          <cell r="J52" t="str">
            <v>September</v>
          </cell>
          <cell r="K52">
            <v>9053.3333333333321</v>
          </cell>
        </row>
        <row r="53">
          <cell r="J53" t="str">
            <v>October</v>
          </cell>
          <cell r="K53">
            <v>9158.0645161290322</v>
          </cell>
        </row>
        <row r="54">
          <cell r="J54" t="str">
            <v>November</v>
          </cell>
          <cell r="K54">
            <v>9656.6666666666679</v>
          </cell>
        </row>
        <row r="55">
          <cell r="J55" t="str">
            <v>December</v>
          </cell>
          <cell r="K55">
            <v>9577.4193548387102</v>
          </cell>
        </row>
        <row r="63">
          <cell r="K63" t="str">
            <v>10H</v>
          </cell>
          <cell r="L63" t="str">
            <v>11H</v>
          </cell>
          <cell r="M63" t="str">
            <v>12H</v>
          </cell>
          <cell r="N63" t="str">
            <v>13H</v>
          </cell>
          <cell r="O63" t="str">
            <v>14H</v>
          </cell>
        </row>
        <row r="64">
          <cell r="J64" t="str">
            <v>January</v>
          </cell>
          <cell r="K64">
            <v>1341.9354838709678</v>
          </cell>
          <cell r="L64">
            <v>1409.6774193548388</v>
          </cell>
          <cell r="M64">
            <v>1425.8064516129032</v>
          </cell>
          <cell r="N64">
            <v>1335.483870967742</v>
          </cell>
          <cell r="O64">
            <v>1206.4516129032259</v>
          </cell>
        </row>
        <row r="65">
          <cell r="J65" t="str">
            <v>February</v>
          </cell>
          <cell r="K65">
            <v>1353.5714285714287</v>
          </cell>
          <cell r="L65">
            <v>1425</v>
          </cell>
          <cell r="M65">
            <v>1439.2857142857142</v>
          </cell>
          <cell r="N65">
            <v>1350</v>
          </cell>
          <cell r="O65">
            <v>1221.4285714285713</v>
          </cell>
        </row>
        <row r="66">
          <cell r="J66" t="str">
            <v>March</v>
          </cell>
          <cell r="K66">
            <v>1287.0967741935483</v>
          </cell>
          <cell r="L66">
            <v>1354.8387096774193</v>
          </cell>
          <cell r="M66">
            <v>1367.741935483871</v>
          </cell>
          <cell r="N66">
            <v>1283.8709677419354</v>
          </cell>
          <cell r="O66">
            <v>1164.516129032258</v>
          </cell>
        </row>
        <row r="67">
          <cell r="J67" t="str">
            <v>April</v>
          </cell>
          <cell r="K67">
            <v>1030</v>
          </cell>
          <cell r="L67">
            <v>1083.3333333333333</v>
          </cell>
          <cell r="M67">
            <v>1093.3333333333333</v>
          </cell>
          <cell r="N67">
            <v>1026.6666666666667</v>
          </cell>
          <cell r="O67">
            <v>930</v>
          </cell>
        </row>
        <row r="68">
          <cell r="J68" t="str">
            <v>May</v>
          </cell>
          <cell r="K68">
            <v>922.58064516129036</v>
          </cell>
          <cell r="L68">
            <v>974.19354838709683</v>
          </cell>
          <cell r="M68">
            <v>983.87096774193549</v>
          </cell>
          <cell r="N68">
            <v>919.35483870967744</v>
          </cell>
          <cell r="O68">
            <v>832.25806451612902</v>
          </cell>
        </row>
        <row r="69">
          <cell r="J69" t="str">
            <v>June</v>
          </cell>
          <cell r="K69">
            <v>1023.3333333333334</v>
          </cell>
          <cell r="L69">
            <v>1080</v>
          </cell>
          <cell r="M69">
            <v>1090.0000000000002</v>
          </cell>
          <cell r="N69">
            <v>1023.3333333333334</v>
          </cell>
          <cell r="O69">
            <v>923.33333333333337</v>
          </cell>
        </row>
        <row r="70">
          <cell r="J70" t="str">
            <v>July</v>
          </cell>
          <cell r="K70">
            <v>1045.1612903225807</v>
          </cell>
          <cell r="L70">
            <v>1103.2258064516129</v>
          </cell>
          <cell r="M70">
            <v>1112.9032258064517</v>
          </cell>
          <cell r="N70">
            <v>1045.1612903225807</v>
          </cell>
          <cell r="O70">
            <v>941.93548387096769</v>
          </cell>
        </row>
        <row r="71">
          <cell r="J71" t="str">
            <v>August</v>
          </cell>
          <cell r="K71">
            <v>1087.0967741935483</v>
          </cell>
          <cell r="L71">
            <v>1148.3870967741937</v>
          </cell>
          <cell r="M71">
            <v>1158.0645161290322</v>
          </cell>
          <cell r="N71">
            <v>1083.8709677419354</v>
          </cell>
          <cell r="O71">
            <v>980.64516129032256</v>
          </cell>
        </row>
        <row r="72">
          <cell r="J72" t="str">
            <v>September</v>
          </cell>
          <cell r="K72">
            <v>1140</v>
          </cell>
          <cell r="L72">
            <v>1196.6666666666667</v>
          </cell>
          <cell r="M72">
            <v>1206.6666666666667</v>
          </cell>
          <cell r="N72">
            <v>1133.3333333333333</v>
          </cell>
          <cell r="O72">
            <v>1023.3333333333334</v>
          </cell>
        </row>
        <row r="73">
          <cell r="J73" t="str">
            <v>October</v>
          </cell>
          <cell r="K73">
            <v>1151.6129032258063</v>
          </cell>
          <cell r="L73">
            <v>1212.9032258064517</v>
          </cell>
          <cell r="M73">
            <v>1222.5806451612902</v>
          </cell>
          <cell r="N73">
            <v>1148.3870967741937</v>
          </cell>
          <cell r="O73">
            <v>1035.483870967742</v>
          </cell>
        </row>
        <row r="74">
          <cell r="J74" t="str">
            <v>November</v>
          </cell>
          <cell r="K74">
            <v>1210</v>
          </cell>
          <cell r="L74">
            <v>1276.6666666666667</v>
          </cell>
          <cell r="M74">
            <v>1290</v>
          </cell>
          <cell r="N74">
            <v>1210</v>
          </cell>
          <cell r="O74">
            <v>1093.3333333333333</v>
          </cell>
        </row>
        <row r="75">
          <cell r="J75" t="str">
            <v>December</v>
          </cell>
          <cell r="K75">
            <v>1206.4516129032259</v>
          </cell>
          <cell r="L75">
            <v>1270.9677419354839</v>
          </cell>
          <cell r="M75">
            <v>1277.4193548387098</v>
          </cell>
          <cell r="N75">
            <v>1200</v>
          </cell>
          <cell r="O75">
            <v>1083.8709677419354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E1E16-98BD-4492-B848-A038EE270EC7}" name="Table1" displayName="Table1" ref="B2:E15" totalsRowShown="0" tableBorderDxfId="4">
  <autoFilter ref="B2:E15" xr:uid="{86BE1E16-98BD-4492-B848-A038EE270EC7}"/>
  <tableColumns count="4">
    <tableColumn id="1" xr3:uid="{E892F7DD-F5FB-4C6B-94B2-8D6C4D5DA0D2}" name="Month" dataDxfId="3"/>
    <tableColumn id="2" xr3:uid="{DBBE0F39-5B56-4180-A08C-CB380F8D0947}" name="Generation (KWh)" dataDxfId="2"/>
    <tableColumn id="7" xr3:uid="{64AD8525-B7B8-40B2-AEBC-6D52ED2B3055}" name="Days" dataDxfId="1"/>
    <tableColumn id="3" xr3:uid="{25A2731B-1E50-443D-92E8-347132BF7226}" name="Avg Power (KW)" dataDxfId="0">
      <calculatedColumnFormula>Table1[[#This Row],[Generation (KWh)]]/(24*Table1[[#This Row],[Days]])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BD04F-BBF2-4A6B-909B-9FBCACC19ED2}" name="Table24" displayName="Table24" ref="AP4:AQ17" totalsRowShown="0">
  <autoFilter ref="AP4:AQ17" xr:uid="{EA1BD04F-BBF2-4A6B-909B-9FBCACC19ED2}"/>
  <tableColumns count="2">
    <tableColumn id="1" xr3:uid="{AEF86FCA-2DEA-488C-8B9C-FF3CD60D392B}" name="Month"/>
    <tableColumn id="2" xr3:uid="{530EA7B9-A25B-474E-93DD-A4E6C7B82015}" name="Generation(MWh)">
      <calculatedColumnFormula>SUM(B5:Y5)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F58E17-D588-4F09-AB0E-42C5812FCCA0}" name="Table25" displayName="Table25" ref="J43:K56" totalsRowShown="0">
  <autoFilter ref="J43:K56" xr:uid="{7FF58E17-D588-4F09-AB0E-42C5812FCCA0}"/>
  <tableColumns count="2">
    <tableColumn id="1" xr3:uid="{0D7DCDD3-438A-4EDC-931E-8CAABB6D4F4C}" name="Month"/>
    <tableColumn id="2" xr3:uid="{72762295-10E8-4A60-A64A-299DB10C2DB7}" name="Generation(KWh)">
      <calculatedColumnFormula>SUM(E5:AB5)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0CFC-FADA-4010-A47B-7F2AD722FBCE}">
  <dimension ref="B1:E17"/>
  <sheetViews>
    <sheetView workbookViewId="0">
      <selection activeCell="F17" sqref="F17"/>
    </sheetView>
  </sheetViews>
  <sheetFormatPr defaultRowHeight="14.4" x14ac:dyDescent="0.3"/>
  <sheetData>
    <row r="1" spans="2:5" ht="15" thickBot="1" x14ac:dyDescent="0.35"/>
    <row r="2" spans="2:5" ht="43.8" thickBot="1" x14ac:dyDescent="0.35">
      <c r="B2" s="4" t="s">
        <v>0</v>
      </c>
      <c r="C2" s="5" t="s">
        <v>1</v>
      </c>
      <c r="D2" s="6" t="s">
        <v>2</v>
      </c>
      <c r="E2" s="1" t="s">
        <v>3</v>
      </c>
    </row>
    <row r="3" spans="2:5" ht="15" thickBot="1" x14ac:dyDescent="0.35">
      <c r="B3" s="4" t="s">
        <v>4</v>
      </c>
      <c r="C3" s="7">
        <v>344447</v>
      </c>
      <c r="D3" s="8">
        <v>31</v>
      </c>
      <c r="E3" s="9">
        <f>Table1[[#This Row],[Generation (KWh)]]/(24*Table1[[#This Row],[Days]])</f>
        <v>462.96639784946234</v>
      </c>
    </row>
    <row r="4" spans="2:5" ht="15" thickBot="1" x14ac:dyDescent="0.35">
      <c r="B4" s="4" t="s">
        <v>5</v>
      </c>
      <c r="C4" s="7">
        <v>314721</v>
      </c>
      <c r="D4" s="8">
        <v>28</v>
      </c>
      <c r="E4" s="9">
        <f>Table1[[#This Row],[Generation (KWh)]]/(24*Table1[[#This Row],[Days]])</f>
        <v>468.33482142857144</v>
      </c>
    </row>
    <row r="5" spans="2:5" ht="15" thickBot="1" x14ac:dyDescent="0.35">
      <c r="B5" s="4" t="s">
        <v>6</v>
      </c>
      <c r="C5" s="7">
        <v>332513</v>
      </c>
      <c r="D5" s="8">
        <v>31</v>
      </c>
      <c r="E5" s="9">
        <f>Table1[[#This Row],[Generation (KWh)]]/(24*Table1[[#This Row],[Days]])</f>
        <v>446.92607526881721</v>
      </c>
    </row>
    <row r="6" spans="2:5" ht="15" thickBot="1" x14ac:dyDescent="0.35">
      <c r="B6" s="4" t="s">
        <v>7</v>
      </c>
      <c r="C6" s="7">
        <v>249986</v>
      </c>
      <c r="D6" s="8">
        <v>30</v>
      </c>
      <c r="E6" s="9">
        <f>Table1[[#This Row],[Generation (KWh)]]/(24*Table1[[#This Row],[Days]])</f>
        <v>347.20277777777778</v>
      </c>
    </row>
    <row r="7" spans="2:5" ht="15" thickBot="1" x14ac:dyDescent="0.35">
      <c r="B7" s="4" t="s">
        <v>8</v>
      </c>
      <c r="C7" s="7">
        <v>225347</v>
      </c>
      <c r="D7" s="8">
        <v>31</v>
      </c>
      <c r="E7" s="9">
        <f>Table1[[#This Row],[Generation (KWh)]]/(24*Table1[[#This Row],[Days]])</f>
        <v>302.88575268817203</v>
      </c>
    </row>
    <row r="8" spans="2:5" ht="15" thickBot="1" x14ac:dyDescent="0.35">
      <c r="B8" s="4" t="s">
        <v>9</v>
      </c>
      <c r="C8" s="7">
        <v>240258</v>
      </c>
      <c r="D8" s="8">
        <v>30</v>
      </c>
      <c r="E8" s="9">
        <f>Table1[[#This Row],[Generation (KWh)]]/(24*Table1[[#This Row],[Days]])</f>
        <v>333.69166666666666</v>
      </c>
    </row>
    <row r="9" spans="2:5" ht="15" thickBot="1" x14ac:dyDescent="0.35">
      <c r="B9" s="4" t="s">
        <v>10</v>
      </c>
      <c r="C9" s="7">
        <v>253791</v>
      </c>
      <c r="D9" s="8">
        <v>31</v>
      </c>
      <c r="E9" s="9">
        <f>Table1[[#This Row],[Generation (KWh)]]/(24*Table1[[#This Row],[Days]])</f>
        <v>341.11693548387098</v>
      </c>
    </row>
    <row r="10" spans="2:5" ht="15" thickBot="1" x14ac:dyDescent="0.35">
      <c r="B10" s="4" t="s">
        <v>11</v>
      </c>
      <c r="C10" s="7">
        <v>264490</v>
      </c>
      <c r="D10" s="8">
        <v>31</v>
      </c>
      <c r="E10" s="9">
        <f>Table1[[#This Row],[Generation (KWh)]]/(24*Table1[[#This Row],[Days]])</f>
        <v>355.49731182795699</v>
      </c>
    </row>
    <row r="11" spans="2:5" ht="15" thickBot="1" x14ac:dyDescent="0.35">
      <c r="B11" s="4" t="s">
        <v>12</v>
      </c>
      <c r="C11" s="7">
        <v>272776</v>
      </c>
      <c r="D11" s="8">
        <v>30</v>
      </c>
      <c r="E11" s="9">
        <f>Table1[[#This Row],[Generation (KWh)]]/(24*Table1[[#This Row],[Days]])</f>
        <v>378.85555555555555</v>
      </c>
    </row>
    <row r="12" spans="2:5" ht="15" thickBot="1" x14ac:dyDescent="0.35">
      <c r="B12" s="4" t="s">
        <v>13</v>
      </c>
      <c r="C12" s="7">
        <v>289532</v>
      </c>
      <c r="D12" s="8">
        <v>31</v>
      </c>
      <c r="E12" s="9">
        <f>Table1[[#This Row],[Generation (KWh)]]/(24*Table1[[#This Row],[Days]])</f>
        <v>389.1559139784946</v>
      </c>
    </row>
    <row r="13" spans="2:5" ht="15" thickBot="1" x14ac:dyDescent="0.35">
      <c r="B13" s="4" t="s">
        <v>14</v>
      </c>
      <c r="C13" s="7">
        <v>296272</v>
      </c>
      <c r="D13" s="8">
        <v>30</v>
      </c>
      <c r="E13" s="9">
        <f>Table1[[#This Row],[Generation (KWh)]]/(24*Table1[[#This Row],[Days]])</f>
        <v>411.48888888888888</v>
      </c>
    </row>
    <row r="14" spans="2:5" ht="15" thickBot="1" x14ac:dyDescent="0.35">
      <c r="B14" s="4" t="s">
        <v>15</v>
      </c>
      <c r="C14" s="7">
        <v>304009</v>
      </c>
      <c r="D14" s="8">
        <v>31</v>
      </c>
      <c r="E14" s="9">
        <f>Table1[[#This Row],[Generation (KWh)]]/(24*Table1[[#This Row],[Days]])</f>
        <v>408.61424731182797</v>
      </c>
    </row>
    <row r="15" spans="2:5" ht="15" thickBot="1" x14ac:dyDescent="0.35">
      <c r="B15" s="10" t="s">
        <v>16</v>
      </c>
      <c r="C15" s="11">
        <v>3388151</v>
      </c>
      <c r="D15" s="12">
        <v>365</v>
      </c>
      <c r="E15" s="13">
        <f>Table1[[#This Row],[Generation (KWh)]]/(24*Table1[[#This Row],[Days]])</f>
        <v>386.77522831050226</v>
      </c>
    </row>
    <row r="17" spans="2:3" ht="57.6" x14ac:dyDescent="0.3">
      <c r="B17" s="14" t="s">
        <v>17</v>
      </c>
      <c r="C17" s="15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AE0E-6959-446E-8689-E77EA4B58770}">
  <dimension ref="A2:AQ104"/>
  <sheetViews>
    <sheetView tabSelected="1" topLeftCell="A77" zoomScale="74" workbookViewId="0">
      <selection sqref="A1:AR133"/>
    </sheetView>
  </sheetViews>
  <sheetFormatPr defaultRowHeight="14.4" x14ac:dyDescent="0.3"/>
  <sheetData>
    <row r="2" spans="1:43" ht="21" x14ac:dyDescent="0.4">
      <c r="F2" s="16"/>
      <c r="G2" s="16"/>
      <c r="H2" s="16"/>
      <c r="I2" s="17" t="s">
        <v>19</v>
      </c>
      <c r="J2" s="17"/>
      <c r="K2" s="17"/>
      <c r="L2" s="17"/>
      <c r="M2" s="18"/>
      <c r="N2" s="18"/>
      <c r="O2" s="18"/>
      <c r="P2" s="18"/>
      <c r="Q2" s="18"/>
      <c r="R2" s="18"/>
    </row>
    <row r="3" spans="1:43" x14ac:dyDescent="0.3">
      <c r="E3" s="18"/>
    </row>
    <row r="4" spans="1:43" ht="28.8" x14ac:dyDescent="0.3">
      <c r="A4" s="19" t="s">
        <v>0</v>
      </c>
      <c r="B4" s="19" t="s">
        <v>20</v>
      </c>
      <c r="C4" s="19" t="s">
        <v>21</v>
      </c>
      <c r="D4" s="19" t="s">
        <v>22</v>
      </c>
      <c r="E4" s="19" t="s">
        <v>23</v>
      </c>
      <c r="F4" s="19" t="s">
        <v>24</v>
      </c>
      <c r="G4" s="19" t="s">
        <v>25</v>
      </c>
      <c r="H4" s="19" t="s">
        <v>26</v>
      </c>
      <c r="I4" s="19" t="s">
        <v>27</v>
      </c>
      <c r="J4" s="19" t="s">
        <v>28</v>
      </c>
      <c r="K4" s="19" t="s">
        <v>29</v>
      </c>
      <c r="L4" s="19" t="s">
        <v>30</v>
      </c>
      <c r="M4" s="19" t="s">
        <v>31</v>
      </c>
      <c r="N4" s="19" t="s">
        <v>32</v>
      </c>
      <c r="O4" s="19" t="s">
        <v>33</v>
      </c>
      <c r="P4" s="19" t="s">
        <v>34</v>
      </c>
      <c r="Q4" s="19" t="s">
        <v>35</v>
      </c>
      <c r="R4" s="19" t="s">
        <v>36</v>
      </c>
      <c r="S4" s="19" t="s">
        <v>37</v>
      </c>
      <c r="T4" s="19" t="s">
        <v>38</v>
      </c>
      <c r="U4" s="19" t="s">
        <v>39</v>
      </c>
      <c r="V4" s="19" t="s">
        <v>40</v>
      </c>
      <c r="W4" s="19" t="s">
        <v>41</v>
      </c>
      <c r="X4" s="19" t="s">
        <v>42</v>
      </c>
      <c r="Y4" s="19" t="s">
        <v>43</v>
      </c>
      <c r="Z4" s="20" t="s">
        <v>44</v>
      </c>
      <c r="AP4" t="s">
        <v>0</v>
      </c>
      <c r="AQ4" s="1" t="s">
        <v>45</v>
      </c>
    </row>
    <row r="5" spans="1:43" x14ac:dyDescent="0.3">
      <c r="A5" t="s">
        <v>46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12</v>
      </c>
      <c r="J5">
        <v>24.3</v>
      </c>
      <c r="K5">
        <v>35</v>
      </c>
      <c r="L5">
        <v>41.6</v>
      </c>
      <c r="M5">
        <v>43.7</v>
      </c>
      <c r="N5">
        <v>44.2</v>
      </c>
      <c r="O5">
        <v>41.4</v>
      </c>
      <c r="P5">
        <v>37.4</v>
      </c>
      <c r="Q5">
        <v>29.2</v>
      </c>
      <c r="R5">
        <v>17.600000000000001</v>
      </c>
      <c r="S5">
        <v>3.4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3">
        <f>SUM(B5:Y5)</f>
        <v>330.8</v>
      </c>
      <c r="AP5" t="s">
        <v>46</v>
      </c>
      <c r="AQ5">
        <f t="shared" ref="AQ5:AQ17" si="0">SUM(B5:Y5)</f>
        <v>330.8</v>
      </c>
    </row>
    <row r="6" spans="1:43" x14ac:dyDescent="0.3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</v>
      </c>
      <c r="I6">
        <v>10.8</v>
      </c>
      <c r="J6">
        <v>22.1</v>
      </c>
      <c r="K6">
        <v>31.8</v>
      </c>
      <c r="L6">
        <v>37.9</v>
      </c>
      <c r="M6">
        <v>39.9</v>
      </c>
      <c r="N6">
        <v>40.299999999999997</v>
      </c>
      <c r="O6">
        <v>37.799999999999997</v>
      </c>
      <c r="P6">
        <v>34.200000000000003</v>
      </c>
      <c r="Q6">
        <v>26.7</v>
      </c>
      <c r="R6">
        <v>16.100000000000001</v>
      </c>
      <c r="S6">
        <v>3.2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3">
        <f t="shared" ref="Z6:Z17" si="1">SUM(B6:Y6)</f>
        <v>301.7</v>
      </c>
      <c r="AP6" t="s">
        <v>47</v>
      </c>
      <c r="AQ6">
        <f t="shared" si="0"/>
        <v>301.7</v>
      </c>
    </row>
    <row r="7" spans="1:43" x14ac:dyDescent="0.3">
      <c r="A7" t="s">
        <v>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11.5</v>
      </c>
      <c r="J7">
        <v>23.3</v>
      </c>
      <c r="K7">
        <v>33.6</v>
      </c>
      <c r="L7">
        <v>39.9</v>
      </c>
      <c r="M7">
        <v>42</v>
      </c>
      <c r="N7">
        <v>42.4</v>
      </c>
      <c r="O7">
        <v>39.799999999999997</v>
      </c>
      <c r="P7">
        <v>36.1</v>
      </c>
      <c r="Q7">
        <v>28.2</v>
      </c>
      <c r="R7">
        <v>16.899999999999999</v>
      </c>
      <c r="S7">
        <v>3.3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13">
        <f t="shared" si="1"/>
        <v>318</v>
      </c>
      <c r="AP7" t="s">
        <v>48</v>
      </c>
      <c r="AQ7">
        <f t="shared" si="0"/>
        <v>318</v>
      </c>
    </row>
    <row r="8" spans="1:43" x14ac:dyDescent="0.3">
      <c r="A8" t="s">
        <v>49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</v>
      </c>
      <c r="I8">
        <v>8.9</v>
      </c>
      <c r="J8">
        <v>18</v>
      </c>
      <c r="K8">
        <v>26</v>
      </c>
      <c r="L8">
        <v>30.9</v>
      </c>
      <c r="M8">
        <v>32.5</v>
      </c>
      <c r="N8">
        <v>32.799999999999997</v>
      </c>
      <c r="O8">
        <v>30.8</v>
      </c>
      <c r="P8">
        <v>27.9</v>
      </c>
      <c r="Q8">
        <v>21.7</v>
      </c>
      <c r="R8">
        <v>13</v>
      </c>
      <c r="S8">
        <v>2.5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13">
        <f t="shared" si="1"/>
        <v>245.79999999999998</v>
      </c>
      <c r="AP8" t="s">
        <v>49</v>
      </c>
      <c r="AQ8">
        <f t="shared" si="0"/>
        <v>245.79999999999998</v>
      </c>
    </row>
    <row r="9" spans="1:43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0.7</v>
      </c>
      <c r="I9">
        <v>8.1999999999999993</v>
      </c>
      <c r="J9">
        <v>16.7</v>
      </c>
      <c r="K9">
        <v>24</v>
      </c>
      <c r="L9">
        <v>28.6</v>
      </c>
      <c r="M9">
        <v>30.2</v>
      </c>
      <c r="N9">
        <v>30.5</v>
      </c>
      <c r="O9">
        <v>28.5</v>
      </c>
      <c r="P9">
        <v>25.8</v>
      </c>
      <c r="Q9">
        <v>20.100000000000001</v>
      </c>
      <c r="R9">
        <v>12</v>
      </c>
      <c r="S9">
        <v>2.2999999999999998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13">
        <f t="shared" si="1"/>
        <v>227.6</v>
      </c>
      <c r="AP9" t="s">
        <v>8</v>
      </c>
      <c r="AQ9">
        <f t="shared" si="0"/>
        <v>227.6</v>
      </c>
    </row>
    <row r="10" spans="1:43" x14ac:dyDescent="0.3">
      <c r="A10" t="s">
        <v>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</v>
      </c>
      <c r="I10">
        <v>8.8000000000000007</v>
      </c>
      <c r="J10">
        <v>17.899999999999999</v>
      </c>
      <c r="K10">
        <v>25.8</v>
      </c>
      <c r="L10">
        <v>30.7</v>
      </c>
      <c r="M10">
        <v>32.4</v>
      </c>
      <c r="N10">
        <v>32.700000000000003</v>
      </c>
      <c r="O10">
        <v>30.7</v>
      </c>
      <c r="P10">
        <v>27.7</v>
      </c>
      <c r="Q10">
        <v>21.5</v>
      </c>
      <c r="R10">
        <v>12.9</v>
      </c>
      <c r="S10">
        <v>2.4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13">
        <f t="shared" si="1"/>
        <v>244.3</v>
      </c>
      <c r="AP10" t="s">
        <v>50</v>
      </c>
      <c r="AQ10">
        <f t="shared" si="0"/>
        <v>244.3</v>
      </c>
    </row>
    <row r="11" spans="1:43" x14ac:dyDescent="0.3">
      <c r="A11" t="s">
        <v>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</v>
      </c>
      <c r="I11">
        <v>9.3000000000000007</v>
      </c>
      <c r="J11">
        <v>18.899999999999999</v>
      </c>
      <c r="K11">
        <v>27.2</v>
      </c>
      <c r="L11">
        <v>32.4</v>
      </c>
      <c r="M11">
        <v>34.200000000000003</v>
      </c>
      <c r="N11">
        <v>34.5</v>
      </c>
      <c r="O11">
        <v>32.4</v>
      </c>
      <c r="P11">
        <v>29.2</v>
      </c>
      <c r="Q11">
        <v>22.7</v>
      </c>
      <c r="R11">
        <v>13.6</v>
      </c>
      <c r="S11">
        <v>2.6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13">
        <f t="shared" si="1"/>
        <v>257.8</v>
      </c>
      <c r="AP11" t="s">
        <v>51</v>
      </c>
      <c r="AQ11">
        <f t="shared" si="0"/>
        <v>257.8</v>
      </c>
    </row>
    <row r="12" spans="1:43" x14ac:dyDescent="0.3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</v>
      </c>
      <c r="I12">
        <v>9.6999999999999993</v>
      </c>
      <c r="J12">
        <v>19.600000000000001</v>
      </c>
      <c r="K12">
        <v>28.3</v>
      </c>
      <c r="L12">
        <v>33.700000000000003</v>
      </c>
      <c r="M12">
        <v>35.6</v>
      </c>
      <c r="N12">
        <v>35.9</v>
      </c>
      <c r="O12">
        <v>33.6</v>
      </c>
      <c r="P12">
        <v>30.4</v>
      </c>
      <c r="Q12">
        <v>23.6</v>
      </c>
      <c r="R12">
        <v>14.2</v>
      </c>
      <c r="S12">
        <v>2.7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13">
        <f t="shared" si="1"/>
        <v>268.10000000000002</v>
      </c>
      <c r="AP12" t="s">
        <v>52</v>
      </c>
      <c r="AQ12">
        <f t="shared" si="0"/>
        <v>268.10000000000002</v>
      </c>
    </row>
    <row r="13" spans="1:43" x14ac:dyDescent="0.3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</v>
      </c>
      <c r="I13">
        <v>9.9</v>
      </c>
      <c r="J13">
        <v>20.100000000000001</v>
      </c>
      <c r="K13">
        <v>28.8</v>
      </c>
      <c r="L13">
        <v>34.200000000000003</v>
      </c>
      <c r="M13">
        <v>35.9</v>
      </c>
      <c r="N13">
        <v>36.200000000000003</v>
      </c>
      <c r="O13">
        <v>34</v>
      </c>
      <c r="P13">
        <v>30.7</v>
      </c>
      <c r="Q13">
        <v>23.9</v>
      </c>
      <c r="R13">
        <v>14.3</v>
      </c>
      <c r="S13">
        <v>2.7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13">
        <f t="shared" si="1"/>
        <v>271.59999999999997</v>
      </c>
      <c r="AP13" t="s">
        <v>53</v>
      </c>
      <c r="AQ13">
        <f t="shared" si="0"/>
        <v>271.59999999999997</v>
      </c>
    </row>
    <row r="14" spans="1:43" x14ac:dyDescent="0.3">
      <c r="A14" t="s">
        <v>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10.4</v>
      </c>
      <c r="J14">
        <v>20.9</v>
      </c>
      <c r="K14">
        <v>30.1</v>
      </c>
      <c r="L14">
        <v>35.700000000000003</v>
      </c>
      <c r="M14">
        <v>37.6</v>
      </c>
      <c r="N14">
        <v>37.9</v>
      </c>
      <c r="O14">
        <v>35.6</v>
      </c>
      <c r="P14">
        <v>32.1</v>
      </c>
      <c r="Q14">
        <v>25</v>
      </c>
      <c r="R14">
        <v>14.9</v>
      </c>
      <c r="S14">
        <v>2.7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13">
        <f t="shared" si="1"/>
        <v>283.89999999999992</v>
      </c>
      <c r="AP14" t="s">
        <v>54</v>
      </c>
      <c r="AQ14">
        <f t="shared" si="0"/>
        <v>283.89999999999992</v>
      </c>
    </row>
    <row r="15" spans="1:43" x14ac:dyDescent="0.3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</v>
      </c>
      <c r="I15">
        <v>10.7</v>
      </c>
      <c r="J15">
        <v>21.4</v>
      </c>
      <c r="K15">
        <v>30.7</v>
      </c>
      <c r="L15">
        <v>36.299999999999997</v>
      </c>
      <c r="M15">
        <v>38.299999999999997</v>
      </c>
      <c r="N15">
        <v>38.700000000000003</v>
      </c>
      <c r="O15">
        <v>36.299999999999997</v>
      </c>
      <c r="P15">
        <v>32.799999999999997</v>
      </c>
      <c r="Q15">
        <v>25.5</v>
      </c>
      <c r="R15">
        <v>15.3</v>
      </c>
      <c r="S15">
        <v>2.8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13">
        <f t="shared" si="1"/>
        <v>289.70000000000005</v>
      </c>
      <c r="AP15" t="s">
        <v>55</v>
      </c>
      <c r="AQ15">
        <f t="shared" si="0"/>
        <v>289.70000000000005</v>
      </c>
    </row>
    <row r="16" spans="1:43" x14ac:dyDescent="0.3">
      <c r="A16" t="s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0.9</v>
      </c>
      <c r="I16">
        <v>10.8</v>
      </c>
      <c r="J16">
        <v>21.9</v>
      </c>
      <c r="K16">
        <v>31.4</v>
      </c>
      <c r="L16">
        <v>37.4</v>
      </c>
      <c r="M16">
        <v>39.4</v>
      </c>
      <c r="N16">
        <v>39.6</v>
      </c>
      <c r="O16">
        <v>37.200000000000003</v>
      </c>
      <c r="P16">
        <v>33.6</v>
      </c>
      <c r="Q16">
        <v>26.1</v>
      </c>
      <c r="R16">
        <v>15.7</v>
      </c>
      <c r="S16">
        <v>2.9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3">
        <f t="shared" si="1"/>
        <v>296.89999999999998</v>
      </c>
      <c r="AP16" t="s">
        <v>56</v>
      </c>
      <c r="AQ16">
        <f t="shared" si="0"/>
        <v>296.89999999999998</v>
      </c>
    </row>
    <row r="17" spans="1:43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10.4</v>
      </c>
      <c r="I17">
        <v>121.1</v>
      </c>
      <c r="J17">
        <v>245</v>
      </c>
      <c r="K17">
        <v>352.7</v>
      </c>
      <c r="L17">
        <v>419.5</v>
      </c>
      <c r="M17">
        <v>441.6</v>
      </c>
      <c r="N17">
        <v>445.6</v>
      </c>
      <c r="O17">
        <v>418</v>
      </c>
      <c r="P17">
        <v>377.9</v>
      </c>
      <c r="Q17">
        <v>294.2</v>
      </c>
      <c r="R17">
        <v>176.6</v>
      </c>
      <c r="S17">
        <v>33.5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s="13">
        <f t="shared" si="1"/>
        <v>3336.1</v>
      </c>
      <c r="AQ17">
        <f t="shared" si="0"/>
        <v>3336.1</v>
      </c>
    </row>
    <row r="19" spans="1:43" ht="43.2" x14ac:dyDescent="0.3">
      <c r="A19" s="20" t="s">
        <v>57</v>
      </c>
      <c r="B19" s="20">
        <f>Z17/1000</f>
        <v>3.3361000000000001</v>
      </c>
      <c r="C19" s="20" t="s">
        <v>58</v>
      </c>
    </row>
    <row r="20" spans="1:43" x14ac:dyDescent="0.3">
      <c r="A20" s="20"/>
      <c r="B20" s="20"/>
      <c r="C20" s="20"/>
    </row>
    <row r="21" spans="1:43" x14ac:dyDescent="0.3">
      <c r="A21" s="20"/>
      <c r="B21" s="20"/>
      <c r="C21" s="20"/>
    </row>
    <row r="23" spans="1:43" ht="21" x14ac:dyDescent="0.4">
      <c r="D23" s="3"/>
      <c r="E23" s="3"/>
      <c r="F23" s="3"/>
      <c r="G23" s="3" t="s">
        <v>59</v>
      </c>
      <c r="H23" s="3"/>
      <c r="I23" s="3"/>
      <c r="J23" s="3"/>
      <c r="K23" s="3"/>
      <c r="L23" s="3"/>
      <c r="M23" s="3"/>
      <c r="Z23" s="34" t="s">
        <v>60</v>
      </c>
      <c r="AA23" s="34"/>
      <c r="AB23" s="35" t="s">
        <v>61</v>
      </c>
      <c r="AC23" s="35"/>
    </row>
    <row r="24" spans="1:43" x14ac:dyDescent="0.3">
      <c r="Z24" s="21"/>
      <c r="AA24" s="21"/>
      <c r="AB24" s="2"/>
      <c r="AC24" s="2"/>
    </row>
    <row r="25" spans="1:43" ht="43.2" x14ac:dyDescent="0.3">
      <c r="A25" s="19" t="s">
        <v>0</v>
      </c>
      <c r="B25" s="19" t="s">
        <v>20</v>
      </c>
      <c r="C25" s="19" t="s">
        <v>21</v>
      </c>
      <c r="D25" s="19" t="s">
        <v>22</v>
      </c>
      <c r="E25" s="19" t="s">
        <v>23</v>
      </c>
      <c r="F25" s="19" t="s">
        <v>24</v>
      </c>
      <c r="G25" s="19" t="s">
        <v>25</v>
      </c>
      <c r="H25" s="19" t="s">
        <v>26</v>
      </c>
      <c r="I25" s="19" t="s">
        <v>27</v>
      </c>
      <c r="J25" s="19" t="s">
        <v>28</v>
      </c>
      <c r="K25" s="19" t="s">
        <v>29</v>
      </c>
      <c r="L25" s="19" t="s">
        <v>30</v>
      </c>
      <c r="M25" s="19" t="s">
        <v>31</v>
      </c>
      <c r="N25" s="19" t="s">
        <v>32</v>
      </c>
      <c r="O25" s="19" t="s">
        <v>33</v>
      </c>
      <c r="P25" s="19" t="s">
        <v>34</v>
      </c>
      <c r="Q25" s="19" t="s">
        <v>35</v>
      </c>
      <c r="R25" s="19" t="s">
        <v>36</v>
      </c>
      <c r="S25" s="19" t="s">
        <v>37</v>
      </c>
      <c r="T25" s="19" t="s">
        <v>38</v>
      </c>
      <c r="U25" s="19" t="s">
        <v>39</v>
      </c>
      <c r="V25" s="19" t="s">
        <v>40</v>
      </c>
      <c r="W25" s="19" t="s">
        <v>41</v>
      </c>
      <c r="X25" s="19" t="s">
        <v>42</v>
      </c>
      <c r="Y25" s="19" t="s">
        <v>43</v>
      </c>
      <c r="Z25" s="22" t="s">
        <v>62</v>
      </c>
      <c r="AA25" s="22" t="s">
        <v>63</v>
      </c>
      <c r="AB25" s="23" t="s">
        <v>62</v>
      </c>
      <c r="AC25" s="24" t="s">
        <v>63</v>
      </c>
    </row>
    <row r="26" spans="1:43" x14ac:dyDescent="0.3">
      <c r="A26" t="s">
        <v>46</v>
      </c>
      <c r="B26" s="25">
        <f>B5*1000/$AE26</f>
        <v>0</v>
      </c>
      <c r="C26" s="25">
        <f t="shared" ref="C26:Y26" si="2">C5*1000/$AE26</f>
        <v>0</v>
      </c>
      <c r="D26" s="25">
        <f t="shared" si="2"/>
        <v>0</v>
      </c>
      <c r="E26" s="25">
        <f t="shared" si="2"/>
        <v>0</v>
      </c>
      <c r="F26" s="25">
        <f t="shared" si="2"/>
        <v>0</v>
      </c>
      <c r="G26" s="25">
        <f t="shared" si="2"/>
        <v>0</v>
      </c>
      <c r="H26" s="25">
        <f t="shared" si="2"/>
        <v>32.258064516129032</v>
      </c>
      <c r="I26" s="25">
        <f t="shared" si="2"/>
        <v>387.09677419354841</v>
      </c>
      <c r="J26" s="25">
        <f t="shared" si="2"/>
        <v>783.87096774193549</v>
      </c>
      <c r="K26" s="25">
        <f t="shared" si="2"/>
        <v>1129.0322580645161</v>
      </c>
      <c r="L26" s="25">
        <f t="shared" si="2"/>
        <v>1341.9354838709678</v>
      </c>
      <c r="M26" s="25">
        <f t="shared" si="2"/>
        <v>1409.6774193548388</v>
      </c>
      <c r="N26" s="25">
        <f t="shared" si="2"/>
        <v>1425.8064516129032</v>
      </c>
      <c r="O26" s="25">
        <f t="shared" si="2"/>
        <v>1335.483870967742</v>
      </c>
      <c r="P26" s="25">
        <f t="shared" si="2"/>
        <v>1206.4516129032259</v>
      </c>
      <c r="Q26" s="25">
        <f t="shared" si="2"/>
        <v>941.93548387096769</v>
      </c>
      <c r="R26" s="25">
        <f t="shared" si="2"/>
        <v>567.74193548387098</v>
      </c>
      <c r="S26" s="25">
        <f t="shared" si="2"/>
        <v>109.6774193548387</v>
      </c>
      <c r="T26" s="25">
        <f t="shared" si="2"/>
        <v>0</v>
      </c>
      <c r="U26" s="25">
        <f t="shared" si="2"/>
        <v>0</v>
      </c>
      <c r="V26" s="25">
        <f t="shared" si="2"/>
        <v>0</v>
      </c>
      <c r="W26" s="25">
        <f t="shared" si="2"/>
        <v>0</v>
      </c>
      <c r="X26" s="25">
        <f t="shared" si="2"/>
        <v>0</v>
      </c>
      <c r="Y26" s="25">
        <f t="shared" si="2"/>
        <v>0</v>
      </c>
      <c r="Z26" s="26">
        <f>SUM(B26:Y26)</f>
        <v>10670.967741935485</v>
      </c>
      <c r="AA26" s="27">
        <f>Z26/12</f>
        <v>889.24731182795711</v>
      </c>
      <c r="AB26" s="28">
        <f>Z5*1000/30.42</f>
        <v>10874.424720578567</v>
      </c>
      <c r="AC26" s="28">
        <f>AB26/12</f>
        <v>906.20206004821387</v>
      </c>
      <c r="AE26">
        <v>31</v>
      </c>
    </row>
    <row r="27" spans="1:43" x14ac:dyDescent="0.3">
      <c r="A27" t="s">
        <v>47</v>
      </c>
      <c r="B27" s="25">
        <f t="shared" ref="B27:Y37" si="3">B6*1000/$AE27</f>
        <v>0</v>
      </c>
      <c r="C27" s="25">
        <f t="shared" si="3"/>
        <v>0</v>
      </c>
      <c r="D27" s="25">
        <f t="shared" si="3"/>
        <v>0</v>
      </c>
      <c r="E27" s="25">
        <f t="shared" si="3"/>
        <v>0</v>
      </c>
      <c r="F27" s="25">
        <f t="shared" si="3"/>
        <v>0</v>
      </c>
      <c r="G27" s="25">
        <f t="shared" si="3"/>
        <v>0</v>
      </c>
      <c r="H27" s="25">
        <f t="shared" si="3"/>
        <v>32.142857142857146</v>
      </c>
      <c r="I27" s="25">
        <f t="shared" si="3"/>
        <v>385.71428571428572</v>
      </c>
      <c r="J27" s="25">
        <f t="shared" si="3"/>
        <v>789.28571428571433</v>
      </c>
      <c r="K27" s="25">
        <f t="shared" si="3"/>
        <v>1135.7142857142858</v>
      </c>
      <c r="L27" s="25">
        <f t="shared" si="3"/>
        <v>1353.5714285714287</v>
      </c>
      <c r="M27" s="25">
        <f t="shared" si="3"/>
        <v>1425</v>
      </c>
      <c r="N27" s="25">
        <f t="shared" si="3"/>
        <v>1439.2857142857142</v>
      </c>
      <c r="O27" s="25">
        <f t="shared" si="3"/>
        <v>1350</v>
      </c>
      <c r="P27" s="25">
        <f t="shared" si="3"/>
        <v>1221.4285714285713</v>
      </c>
      <c r="Q27" s="25">
        <f t="shared" si="3"/>
        <v>953.57142857142856</v>
      </c>
      <c r="R27" s="25">
        <f t="shared" si="3"/>
        <v>575.00000000000011</v>
      </c>
      <c r="S27" s="25">
        <f t="shared" si="3"/>
        <v>114.28571428571429</v>
      </c>
      <c r="T27" s="25">
        <f t="shared" si="3"/>
        <v>0</v>
      </c>
      <c r="U27" s="25">
        <f t="shared" si="3"/>
        <v>0</v>
      </c>
      <c r="V27" s="25">
        <f t="shared" si="3"/>
        <v>0</v>
      </c>
      <c r="W27" s="25">
        <f t="shared" si="3"/>
        <v>0</v>
      </c>
      <c r="X27" s="25">
        <f t="shared" si="3"/>
        <v>0</v>
      </c>
      <c r="Y27" s="25">
        <f t="shared" si="3"/>
        <v>0</v>
      </c>
      <c r="Z27" s="26">
        <f t="shared" ref="Z27:Z37" si="4">SUM(B27:Y27)</f>
        <v>10775</v>
      </c>
      <c r="AA27" s="27">
        <f t="shared" ref="AA27:AA37" si="5">Z27/12</f>
        <v>897.91666666666663</v>
      </c>
      <c r="AB27" s="28">
        <f t="shared" ref="AB27:AB37" si="6">Z6*1000/30.42</f>
        <v>9917.8172255095324</v>
      </c>
      <c r="AC27" s="28">
        <f t="shared" ref="AC27:AC37" si="7">AB27/12</f>
        <v>826.48476879246107</v>
      </c>
      <c r="AE27">
        <v>28</v>
      </c>
    </row>
    <row r="28" spans="1:43" x14ac:dyDescent="0.3">
      <c r="A28" t="s">
        <v>48</v>
      </c>
      <c r="B28" s="25">
        <f t="shared" si="3"/>
        <v>0</v>
      </c>
      <c r="C28" s="25">
        <f t="shared" si="3"/>
        <v>0</v>
      </c>
      <c r="D28" s="25">
        <f t="shared" si="3"/>
        <v>0</v>
      </c>
      <c r="E28" s="25">
        <f t="shared" si="3"/>
        <v>0</v>
      </c>
      <c r="F28" s="25">
        <f t="shared" si="3"/>
        <v>0</v>
      </c>
      <c r="G28" s="25">
        <f t="shared" si="3"/>
        <v>0</v>
      </c>
      <c r="H28" s="25">
        <f t="shared" si="3"/>
        <v>32.258064516129032</v>
      </c>
      <c r="I28" s="25">
        <f t="shared" si="3"/>
        <v>370.96774193548384</v>
      </c>
      <c r="J28" s="25">
        <f t="shared" si="3"/>
        <v>751.61290322580646</v>
      </c>
      <c r="K28" s="25">
        <f t="shared" si="3"/>
        <v>1083.8709677419354</v>
      </c>
      <c r="L28" s="25">
        <f t="shared" si="3"/>
        <v>1287.0967741935483</v>
      </c>
      <c r="M28" s="25">
        <f t="shared" si="3"/>
        <v>1354.8387096774193</v>
      </c>
      <c r="N28" s="25">
        <f t="shared" si="3"/>
        <v>1367.741935483871</v>
      </c>
      <c r="O28" s="25">
        <f t="shared" si="3"/>
        <v>1283.8709677419354</v>
      </c>
      <c r="P28" s="25">
        <f t="shared" si="3"/>
        <v>1164.516129032258</v>
      </c>
      <c r="Q28" s="25">
        <f t="shared" si="3"/>
        <v>909.67741935483866</v>
      </c>
      <c r="R28" s="25">
        <f t="shared" si="3"/>
        <v>545.16129032258061</v>
      </c>
      <c r="S28" s="25">
        <f t="shared" si="3"/>
        <v>106.45161290322581</v>
      </c>
      <c r="T28" s="25">
        <f t="shared" si="3"/>
        <v>0</v>
      </c>
      <c r="U28" s="25">
        <f t="shared" si="3"/>
        <v>0</v>
      </c>
      <c r="V28" s="25">
        <f t="shared" si="3"/>
        <v>0</v>
      </c>
      <c r="W28" s="25">
        <f t="shared" si="3"/>
        <v>0</v>
      </c>
      <c r="X28" s="25">
        <f t="shared" si="3"/>
        <v>0</v>
      </c>
      <c r="Y28" s="25">
        <f t="shared" si="3"/>
        <v>0</v>
      </c>
      <c r="Z28" s="26">
        <f t="shared" si="4"/>
        <v>10258.064516129032</v>
      </c>
      <c r="AA28" s="27">
        <f t="shared" si="5"/>
        <v>854.83870967741939</v>
      </c>
      <c r="AB28" s="28">
        <f t="shared" si="6"/>
        <v>10453.648915187376</v>
      </c>
      <c r="AC28" s="28">
        <f t="shared" si="7"/>
        <v>871.13740959894801</v>
      </c>
      <c r="AE28">
        <v>31</v>
      </c>
      <c r="AF28">
        <f>AVERAGE(AE26:AE37)</f>
        <v>30.416666666666668</v>
      </c>
    </row>
    <row r="29" spans="1:43" x14ac:dyDescent="0.3">
      <c r="A29" t="s">
        <v>49</v>
      </c>
      <c r="B29" s="25">
        <f t="shared" si="3"/>
        <v>0</v>
      </c>
      <c r="C29" s="25">
        <f t="shared" si="3"/>
        <v>0</v>
      </c>
      <c r="D29" s="25">
        <f t="shared" si="3"/>
        <v>0</v>
      </c>
      <c r="E29" s="25">
        <f t="shared" si="3"/>
        <v>0</v>
      </c>
      <c r="F29" s="25">
        <f t="shared" si="3"/>
        <v>0</v>
      </c>
      <c r="G29" s="25">
        <f t="shared" si="3"/>
        <v>0</v>
      </c>
      <c r="H29" s="25">
        <f t="shared" si="3"/>
        <v>26.666666666666668</v>
      </c>
      <c r="I29" s="25">
        <f t="shared" si="3"/>
        <v>296.66666666666669</v>
      </c>
      <c r="J29" s="25">
        <f t="shared" si="3"/>
        <v>600</v>
      </c>
      <c r="K29" s="25">
        <f t="shared" si="3"/>
        <v>866.66666666666663</v>
      </c>
      <c r="L29" s="25">
        <f t="shared" si="3"/>
        <v>1030</v>
      </c>
      <c r="M29" s="25">
        <f t="shared" si="3"/>
        <v>1083.3333333333333</v>
      </c>
      <c r="N29" s="25">
        <f t="shared" si="3"/>
        <v>1093.3333333333333</v>
      </c>
      <c r="O29" s="25">
        <f t="shared" si="3"/>
        <v>1026.6666666666667</v>
      </c>
      <c r="P29" s="25">
        <f t="shared" si="3"/>
        <v>930</v>
      </c>
      <c r="Q29" s="25">
        <f t="shared" si="3"/>
        <v>723.33333333333337</v>
      </c>
      <c r="R29" s="25">
        <f t="shared" si="3"/>
        <v>433.33333333333331</v>
      </c>
      <c r="S29" s="25">
        <f t="shared" si="3"/>
        <v>83.333333333333329</v>
      </c>
      <c r="T29" s="25">
        <f t="shared" si="3"/>
        <v>0</v>
      </c>
      <c r="U29" s="25">
        <f t="shared" si="3"/>
        <v>0</v>
      </c>
      <c r="V29" s="25">
        <f t="shared" si="3"/>
        <v>0</v>
      </c>
      <c r="W29" s="25">
        <f t="shared" si="3"/>
        <v>0</v>
      </c>
      <c r="X29" s="25">
        <f t="shared" si="3"/>
        <v>0</v>
      </c>
      <c r="Y29" s="25">
        <f t="shared" si="3"/>
        <v>0</v>
      </c>
      <c r="Z29" s="26">
        <f t="shared" si="4"/>
        <v>8193.3333333333321</v>
      </c>
      <c r="AA29" s="27">
        <f t="shared" si="5"/>
        <v>682.77777777777771</v>
      </c>
      <c r="AB29" s="28">
        <f t="shared" si="6"/>
        <v>8080.2103879026945</v>
      </c>
      <c r="AC29" s="28">
        <f t="shared" si="7"/>
        <v>673.35086565855784</v>
      </c>
      <c r="AE29">
        <v>30</v>
      </c>
    </row>
    <row r="30" spans="1:43" x14ac:dyDescent="0.3">
      <c r="A30" t="s">
        <v>8</v>
      </c>
      <c r="B30" s="25">
        <f t="shared" si="3"/>
        <v>0</v>
      </c>
      <c r="C30" s="25">
        <f t="shared" si="3"/>
        <v>0</v>
      </c>
      <c r="D30" s="25">
        <f t="shared" si="3"/>
        <v>0</v>
      </c>
      <c r="E30" s="25">
        <f t="shared" si="3"/>
        <v>0</v>
      </c>
      <c r="F30" s="25">
        <f t="shared" si="3"/>
        <v>0</v>
      </c>
      <c r="G30" s="25">
        <f t="shared" si="3"/>
        <v>0</v>
      </c>
      <c r="H30" s="25">
        <f t="shared" si="3"/>
        <v>22.580645161290324</v>
      </c>
      <c r="I30" s="25">
        <f t="shared" si="3"/>
        <v>264.51612903225805</v>
      </c>
      <c r="J30" s="25">
        <f t="shared" si="3"/>
        <v>538.70967741935488</v>
      </c>
      <c r="K30" s="25">
        <f t="shared" si="3"/>
        <v>774.19354838709683</v>
      </c>
      <c r="L30" s="25">
        <f t="shared" si="3"/>
        <v>922.58064516129036</v>
      </c>
      <c r="M30" s="25">
        <f t="shared" si="3"/>
        <v>974.19354838709683</v>
      </c>
      <c r="N30" s="25">
        <f t="shared" si="3"/>
        <v>983.87096774193549</v>
      </c>
      <c r="O30" s="25">
        <f t="shared" si="3"/>
        <v>919.35483870967744</v>
      </c>
      <c r="P30" s="25">
        <f t="shared" si="3"/>
        <v>832.25806451612902</v>
      </c>
      <c r="Q30" s="25">
        <f t="shared" si="3"/>
        <v>648.38709677419354</v>
      </c>
      <c r="R30" s="25">
        <f t="shared" si="3"/>
        <v>387.09677419354841</v>
      </c>
      <c r="S30" s="25">
        <f t="shared" si="3"/>
        <v>74.193548387096769</v>
      </c>
      <c r="T30" s="25">
        <f t="shared" si="3"/>
        <v>0</v>
      </c>
      <c r="U30" s="25">
        <f t="shared" si="3"/>
        <v>0</v>
      </c>
      <c r="V30" s="25">
        <f t="shared" si="3"/>
        <v>0</v>
      </c>
      <c r="W30" s="25">
        <f t="shared" si="3"/>
        <v>0</v>
      </c>
      <c r="X30" s="25">
        <f t="shared" si="3"/>
        <v>0</v>
      </c>
      <c r="Y30" s="25">
        <f t="shared" si="3"/>
        <v>0</v>
      </c>
      <c r="Z30" s="26">
        <f t="shared" si="4"/>
        <v>7341.9354838709669</v>
      </c>
      <c r="AA30" s="27">
        <f t="shared" si="5"/>
        <v>611.82795698924724</v>
      </c>
      <c r="AB30" s="28">
        <f t="shared" si="6"/>
        <v>7481.9197896120968</v>
      </c>
      <c r="AC30" s="28">
        <f t="shared" si="7"/>
        <v>623.49331580100807</v>
      </c>
      <c r="AE30">
        <v>31</v>
      </c>
    </row>
    <row r="31" spans="1:43" x14ac:dyDescent="0.3">
      <c r="A31" t="s">
        <v>50</v>
      </c>
      <c r="B31" s="25">
        <f t="shared" si="3"/>
        <v>0</v>
      </c>
      <c r="C31" s="25">
        <f t="shared" si="3"/>
        <v>0</v>
      </c>
      <c r="D31" s="25">
        <f t="shared" si="3"/>
        <v>0</v>
      </c>
      <c r="E31" s="25">
        <f t="shared" si="3"/>
        <v>0</v>
      </c>
      <c r="F31" s="25">
        <f t="shared" si="3"/>
        <v>0</v>
      </c>
      <c r="G31" s="25">
        <f t="shared" si="3"/>
        <v>0</v>
      </c>
      <c r="H31" s="25">
        <f t="shared" si="3"/>
        <v>26.666666666666668</v>
      </c>
      <c r="I31" s="25">
        <f t="shared" si="3"/>
        <v>293.33333333333331</v>
      </c>
      <c r="J31" s="25">
        <f t="shared" si="3"/>
        <v>596.66666666666663</v>
      </c>
      <c r="K31" s="25">
        <f t="shared" si="3"/>
        <v>860</v>
      </c>
      <c r="L31" s="25">
        <f t="shared" si="3"/>
        <v>1023.3333333333334</v>
      </c>
      <c r="M31" s="25">
        <f t="shared" si="3"/>
        <v>1080</v>
      </c>
      <c r="N31" s="25">
        <f t="shared" si="3"/>
        <v>1090.0000000000002</v>
      </c>
      <c r="O31" s="25">
        <f t="shared" si="3"/>
        <v>1023.3333333333334</v>
      </c>
      <c r="P31" s="25">
        <f t="shared" si="3"/>
        <v>923.33333333333337</v>
      </c>
      <c r="Q31" s="25">
        <f t="shared" si="3"/>
        <v>716.66666666666663</v>
      </c>
      <c r="R31" s="25">
        <f t="shared" si="3"/>
        <v>430</v>
      </c>
      <c r="S31" s="25">
        <f t="shared" si="3"/>
        <v>80</v>
      </c>
      <c r="T31" s="25">
        <f t="shared" si="3"/>
        <v>0</v>
      </c>
      <c r="U31" s="25">
        <f t="shared" si="3"/>
        <v>0</v>
      </c>
      <c r="V31" s="25">
        <f t="shared" si="3"/>
        <v>0</v>
      </c>
      <c r="W31" s="25">
        <f t="shared" si="3"/>
        <v>0</v>
      </c>
      <c r="X31" s="25">
        <f t="shared" si="3"/>
        <v>0</v>
      </c>
      <c r="Y31" s="25">
        <f t="shared" si="3"/>
        <v>0</v>
      </c>
      <c r="Z31" s="26">
        <f t="shared" si="4"/>
        <v>8143.333333333333</v>
      </c>
      <c r="AA31" s="27">
        <f t="shared" si="5"/>
        <v>678.61111111111109</v>
      </c>
      <c r="AB31" s="28">
        <f t="shared" si="6"/>
        <v>8030.900723208415</v>
      </c>
      <c r="AC31" s="28">
        <f t="shared" si="7"/>
        <v>669.24172693403455</v>
      </c>
      <c r="AE31">
        <v>30</v>
      </c>
    </row>
    <row r="32" spans="1:43" x14ac:dyDescent="0.3">
      <c r="A32" t="s">
        <v>51</v>
      </c>
      <c r="B32" s="25">
        <f t="shared" si="3"/>
        <v>0</v>
      </c>
      <c r="C32" s="25">
        <f t="shared" si="3"/>
        <v>0</v>
      </c>
      <c r="D32" s="25">
        <f t="shared" si="3"/>
        <v>0</v>
      </c>
      <c r="E32" s="25">
        <f t="shared" si="3"/>
        <v>0</v>
      </c>
      <c r="F32" s="25">
        <f t="shared" si="3"/>
        <v>0</v>
      </c>
      <c r="G32" s="25">
        <f t="shared" si="3"/>
        <v>0</v>
      </c>
      <c r="H32" s="25">
        <f t="shared" si="3"/>
        <v>25.806451612903224</v>
      </c>
      <c r="I32" s="25">
        <f t="shared" si="3"/>
        <v>300</v>
      </c>
      <c r="J32" s="25">
        <f t="shared" si="3"/>
        <v>609.67741935483866</v>
      </c>
      <c r="K32" s="25">
        <f t="shared" si="3"/>
        <v>877.41935483870964</v>
      </c>
      <c r="L32" s="25">
        <f t="shared" si="3"/>
        <v>1045.1612903225807</v>
      </c>
      <c r="M32" s="25">
        <f t="shared" si="3"/>
        <v>1103.2258064516129</v>
      </c>
      <c r="N32" s="25">
        <f t="shared" si="3"/>
        <v>1112.9032258064517</v>
      </c>
      <c r="O32" s="25">
        <f t="shared" si="3"/>
        <v>1045.1612903225807</v>
      </c>
      <c r="P32" s="25">
        <f t="shared" si="3"/>
        <v>941.93548387096769</v>
      </c>
      <c r="Q32" s="25">
        <f t="shared" si="3"/>
        <v>732.25806451612902</v>
      </c>
      <c r="R32" s="25">
        <f t="shared" si="3"/>
        <v>438.70967741935482</v>
      </c>
      <c r="S32" s="25">
        <f t="shared" si="3"/>
        <v>83.870967741935488</v>
      </c>
      <c r="T32" s="25">
        <f t="shared" si="3"/>
        <v>0</v>
      </c>
      <c r="U32" s="25">
        <f t="shared" si="3"/>
        <v>0</v>
      </c>
      <c r="V32" s="25">
        <f t="shared" si="3"/>
        <v>0</v>
      </c>
      <c r="W32" s="25">
        <f t="shared" si="3"/>
        <v>0</v>
      </c>
      <c r="X32" s="25">
        <f t="shared" si="3"/>
        <v>0</v>
      </c>
      <c r="Y32" s="25">
        <f t="shared" si="3"/>
        <v>0</v>
      </c>
      <c r="Z32" s="26">
        <f t="shared" si="4"/>
        <v>8316.1290322580644</v>
      </c>
      <c r="AA32" s="27">
        <f t="shared" si="5"/>
        <v>693.01075268817203</v>
      </c>
      <c r="AB32" s="28">
        <f t="shared" si="6"/>
        <v>8474.6877054569359</v>
      </c>
      <c r="AC32" s="28">
        <f t="shared" si="7"/>
        <v>706.22397545474462</v>
      </c>
      <c r="AE32">
        <v>31</v>
      </c>
    </row>
    <row r="33" spans="1:31" x14ac:dyDescent="0.3">
      <c r="A33" t="s">
        <v>52</v>
      </c>
      <c r="B33" s="25">
        <f t="shared" si="3"/>
        <v>0</v>
      </c>
      <c r="C33" s="25">
        <f t="shared" si="3"/>
        <v>0</v>
      </c>
      <c r="D33" s="25">
        <f t="shared" si="3"/>
        <v>0</v>
      </c>
      <c r="E33" s="25">
        <f t="shared" si="3"/>
        <v>0</v>
      </c>
      <c r="F33" s="25">
        <f t="shared" si="3"/>
        <v>0</v>
      </c>
      <c r="G33" s="25">
        <f t="shared" si="3"/>
        <v>0</v>
      </c>
      <c r="H33" s="25">
        <f t="shared" si="3"/>
        <v>25.806451612903224</v>
      </c>
      <c r="I33" s="25">
        <f t="shared" si="3"/>
        <v>312.90322580645159</v>
      </c>
      <c r="J33" s="25">
        <f t="shared" si="3"/>
        <v>632.25806451612902</v>
      </c>
      <c r="K33" s="25">
        <f t="shared" si="3"/>
        <v>912.90322580645159</v>
      </c>
      <c r="L33" s="25">
        <f t="shared" si="3"/>
        <v>1087.0967741935483</v>
      </c>
      <c r="M33" s="25">
        <f t="shared" si="3"/>
        <v>1148.3870967741937</v>
      </c>
      <c r="N33" s="25">
        <f t="shared" si="3"/>
        <v>1158.0645161290322</v>
      </c>
      <c r="O33" s="25">
        <f t="shared" si="3"/>
        <v>1083.8709677419354</v>
      </c>
      <c r="P33" s="25">
        <f t="shared" si="3"/>
        <v>980.64516129032256</v>
      </c>
      <c r="Q33" s="25">
        <f t="shared" si="3"/>
        <v>761.29032258064512</v>
      </c>
      <c r="R33" s="25">
        <f t="shared" si="3"/>
        <v>458.06451612903226</v>
      </c>
      <c r="S33" s="25">
        <f t="shared" si="3"/>
        <v>87.096774193548384</v>
      </c>
      <c r="T33" s="25">
        <f t="shared" si="3"/>
        <v>0</v>
      </c>
      <c r="U33" s="25">
        <f t="shared" si="3"/>
        <v>0</v>
      </c>
      <c r="V33" s="25">
        <f t="shared" si="3"/>
        <v>0</v>
      </c>
      <c r="W33" s="25">
        <f t="shared" si="3"/>
        <v>0</v>
      </c>
      <c r="X33" s="25">
        <f t="shared" si="3"/>
        <v>0</v>
      </c>
      <c r="Y33" s="25">
        <f t="shared" si="3"/>
        <v>0</v>
      </c>
      <c r="Z33" s="26">
        <f t="shared" si="4"/>
        <v>8648.387096774195</v>
      </c>
      <c r="AA33" s="27">
        <f t="shared" si="5"/>
        <v>720.69892473118296</v>
      </c>
      <c r="AB33" s="28">
        <f t="shared" si="6"/>
        <v>8813.2807363576594</v>
      </c>
      <c r="AC33" s="28">
        <f t="shared" si="7"/>
        <v>734.44006136313828</v>
      </c>
      <c r="AE33">
        <v>31</v>
      </c>
    </row>
    <row r="34" spans="1:31" x14ac:dyDescent="0.3">
      <c r="A34" t="s">
        <v>53</v>
      </c>
      <c r="B34" s="25">
        <f t="shared" si="3"/>
        <v>0</v>
      </c>
      <c r="C34" s="25">
        <f t="shared" si="3"/>
        <v>0</v>
      </c>
      <c r="D34" s="25">
        <f t="shared" si="3"/>
        <v>0</v>
      </c>
      <c r="E34" s="25">
        <f t="shared" si="3"/>
        <v>0</v>
      </c>
      <c r="F34" s="25">
        <f t="shared" si="3"/>
        <v>0</v>
      </c>
      <c r="G34" s="25">
        <f t="shared" si="3"/>
        <v>0</v>
      </c>
      <c r="H34" s="25">
        <f t="shared" si="3"/>
        <v>30</v>
      </c>
      <c r="I34" s="25">
        <f t="shared" si="3"/>
        <v>330</v>
      </c>
      <c r="J34" s="25">
        <f t="shared" si="3"/>
        <v>670</v>
      </c>
      <c r="K34" s="25">
        <f t="shared" si="3"/>
        <v>960</v>
      </c>
      <c r="L34" s="25">
        <f t="shared" si="3"/>
        <v>1140</v>
      </c>
      <c r="M34" s="25">
        <f t="shared" si="3"/>
        <v>1196.6666666666667</v>
      </c>
      <c r="N34" s="25">
        <f t="shared" si="3"/>
        <v>1206.6666666666667</v>
      </c>
      <c r="O34" s="25">
        <f t="shared" si="3"/>
        <v>1133.3333333333333</v>
      </c>
      <c r="P34" s="25">
        <f t="shared" si="3"/>
        <v>1023.3333333333334</v>
      </c>
      <c r="Q34" s="25">
        <f t="shared" si="3"/>
        <v>796.66666666666663</v>
      </c>
      <c r="R34" s="25">
        <f t="shared" si="3"/>
        <v>476.66666666666669</v>
      </c>
      <c r="S34" s="25">
        <f t="shared" si="3"/>
        <v>90</v>
      </c>
      <c r="T34" s="25">
        <f t="shared" si="3"/>
        <v>0</v>
      </c>
      <c r="U34" s="25">
        <f t="shared" si="3"/>
        <v>0</v>
      </c>
      <c r="V34" s="25">
        <f t="shared" si="3"/>
        <v>0</v>
      </c>
      <c r="W34" s="25">
        <f t="shared" si="3"/>
        <v>0</v>
      </c>
      <c r="X34" s="25">
        <f t="shared" si="3"/>
        <v>0</v>
      </c>
      <c r="Y34" s="25">
        <f t="shared" si="3"/>
        <v>0</v>
      </c>
      <c r="Z34" s="26">
        <f t="shared" si="4"/>
        <v>9053.3333333333321</v>
      </c>
      <c r="AA34" s="27">
        <f t="shared" si="5"/>
        <v>754.44444444444434</v>
      </c>
      <c r="AB34" s="28">
        <f t="shared" si="6"/>
        <v>8928.3366206443097</v>
      </c>
      <c r="AC34" s="28">
        <f t="shared" si="7"/>
        <v>744.02805172035914</v>
      </c>
      <c r="AE34">
        <v>30</v>
      </c>
    </row>
    <row r="35" spans="1:31" x14ac:dyDescent="0.3">
      <c r="A35" t="s">
        <v>54</v>
      </c>
      <c r="B35" s="25">
        <f t="shared" si="3"/>
        <v>0</v>
      </c>
      <c r="C35" s="25">
        <f t="shared" si="3"/>
        <v>0</v>
      </c>
      <c r="D35" s="25">
        <f t="shared" si="3"/>
        <v>0</v>
      </c>
      <c r="E35" s="25">
        <f t="shared" si="3"/>
        <v>0</v>
      </c>
      <c r="F35" s="25">
        <f t="shared" si="3"/>
        <v>0</v>
      </c>
      <c r="G35" s="25">
        <f t="shared" si="3"/>
        <v>0</v>
      </c>
      <c r="H35" s="25">
        <f t="shared" si="3"/>
        <v>32.258064516129032</v>
      </c>
      <c r="I35" s="25">
        <f t="shared" si="3"/>
        <v>335.48387096774195</v>
      </c>
      <c r="J35" s="25">
        <f t="shared" si="3"/>
        <v>674.19354838709683</v>
      </c>
      <c r="K35" s="25">
        <f t="shared" si="3"/>
        <v>970.9677419354839</v>
      </c>
      <c r="L35" s="25">
        <f t="shared" si="3"/>
        <v>1151.6129032258063</v>
      </c>
      <c r="M35" s="25">
        <f t="shared" si="3"/>
        <v>1212.9032258064517</v>
      </c>
      <c r="N35" s="25">
        <f t="shared" si="3"/>
        <v>1222.5806451612902</v>
      </c>
      <c r="O35" s="25">
        <f t="shared" si="3"/>
        <v>1148.3870967741937</v>
      </c>
      <c r="P35" s="25">
        <f t="shared" si="3"/>
        <v>1035.483870967742</v>
      </c>
      <c r="Q35" s="25">
        <f t="shared" si="3"/>
        <v>806.45161290322585</v>
      </c>
      <c r="R35" s="25">
        <f t="shared" si="3"/>
        <v>480.64516129032256</v>
      </c>
      <c r="S35" s="25">
        <f t="shared" si="3"/>
        <v>87.096774193548384</v>
      </c>
      <c r="T35" s="25">
        <f t="shared" si="3"/>
        <v>0</v>
      </c>
      <c r="U35" s="25">
        <f t="shared" si="3"/>
        <v>0</v>
      </c>
      <c r="V35" s="25">
        <f t="shared" si="3"/>
        <v>0</v>
      </c>
      <c r="W35" s="25">
        <f t="shared" si="3"/>
        <v>0</v>
      </c>
      <c r="X35" s="25">
        <f t="shared" si="3"/>
        <v>0</v>
      </c>
      <c r="Y35" s="25">
        <f t="shared" si="3"/>
        <v>0</v>
      </c>
      <c r="Z35" s="26">
        <f t="shared" si="4"/>
        <v>9158.0645161290322</v>
      </c>
      <c r="AA35" s="27">
        <f t="shared" si="5"/>
        <v>763.17204301075265</v>
      </c>
      <c r="AB35" s="28">
        <f t="shared" si="6"/>
        <v>9332.6758711374077</v>
      </c>
      <c r="AC35" s="28">
        <f t="shared" si="7"/>
        <v>777.72298926145061</v>
      </c>
      <c r="AE35">
        <v>31</v>
      </c>
    </row>
    <row r="36" spans="1:31" x14ac:dyDescent="0.3">
      <c r="A36" t="s">
        <v>55</v>
      </c>
      <c r="B36" s="25">
        <f t="shared" si="3"/>
        <v>0</v>
      </c>
      <c r="C36" s="25">
        <f t="shared" si="3"/>
        <v>0</v>
      </c>
      <c r="D36" s="25">
        <f t="shared" si="3"/>
        <v>0</v>
      </c>
      <c r="E36" s="25">
        <f t="shared" si="3"/>
        <v>0</v>
      </c>
      <c r="F36" s="25">
        <f t="shared" si="3"/>
        <v>0</v>
      </c>
      <c r="G36" s="25">
        <f t="shared" si="3"/>
        <v>0</v>
      </c>
      <c r="H36" s="25">
        <f t="shared" si="3"/>
        <v>30</v>
      </c>
      <c r="I36" s="25">
        <f t="shared" si="3"/>
        <v>356.66666666666669</v>
      </c>
      <c r="J36" s="25">
        <f t="shared" si="3"/>
        <v>713.33333333333337</v>
      </c>
      <c r="K36" s="25">
        <f t="shared" si="3"/>
        <v>1023.3333333333334</v>
      </c>
      <c r="L36" s="25">
        <f t="shared" si="3"/>
        <v>1210</v>
      </c>
      <c r="M36" s="25">
        <f t="shared" si="3"/>
        <v>1276.6666666666667</v>
      </c>
      <c r="N36" s="25">
        <f t="shared" si="3"/>
        <v>1290</v>
      </c>
      <c r="O36" s="25">
        <f t="shared" si="3"/>
        <v>1210</v>
      </c>
      <c r="P36" s="25">
        <f t="shared" si="3"/>
        <v>1093.3333333333333</v>
      </c>
      <c r="Q36" s="25">
        <f t="shared" si="3"/>
        <v>850</v>
      </c>
      <c r="R36" s="25">
        <f t="shared" si="3"/>
        <v>510</v>
      </c>
      <c r="S36" s="25">
        <f t="shared" si="3"/>
        <v>93.333333333333329</v>
      </c>
      <c r="T36" s="25">
        <f t="shared" si="3"/>
        <v>0</v>
      </c>
      <c r="U36" s="25">
        <f t="shared" si="3"/>
        <v>0</v>
      </c>
      <c r="V36" s="25">
        <f t="shared" si="3"/>
        <v>0</v>
      </c>
      <c r="W36" s="25">
        <f t="shared" si="3"/>
        <v>0</v>
      </c>
      <c r="X36" s="25">
        <f t="shared" si="3"/>
        <v>0</v>
      </c>
      <c r="Y36" s="25">
        <f t="shared" si="3"/>
        <v>0</v>
      </c>
      <c r="Z36" s="26">
        <f t="shared" si="4"/>
        <v>9656.6666666666679</v>
      </c>
      <c r="AA36" s="27">
        <f t="shared" si="5"/>
        <v>804.72222222222229</v>
      </c>
      <c r="AB36" s="28">
        <f t="shared" si="6"/>
        <v>9523.3399079552946</v>
      </c>
      <c r="AC36" s="28">
        <f t="shared" si="7"/>
        <v>793.61165899627451</v>
      </c>
      <c r="AE36">
        <v>30</v>
      </c>
    </row>
    <row r="37" spans="1:31" x14ac:dyDescent="0.3">
      <c r="A37" t="s">
        <v>56</v>
      </c>
      <c r="B37" s="25">
        <f t="shared" si="3"/>
        <v>0</v>
      </c>
      <c r="C37" s="25">
        <f t="shared" si="3"/>
        <v>0</v>
      </c>
      <c r="D37" s="25">
        <f t="shared" si="3"/>
        <v>0</v>
      </c>
      <c r="E37" s="25">
        <f t="shared" si="3"/>
        <v>0</v>
      </c>
      <c r="F37" s="25">
        <f t="shared" si="3"/>
        <v>0</v>
      </c>
      <c r="G37" s="25">
        <f t="shared" si="3"/>
        <v>0</v>
      </c>
      <c r="H37" s="25">
        <f t="shared" si="3"/>
        <v>29.032258064516128</v>
      </c>
      <c r="I37" s="25">
        <f t="shared" si="3"/>
        <v>348.38709677419354</v>
      </c>
      <c r="J37" s="25">
        <f t="shared" si="3"/>
        <v>706.45161290322585</v>
      </c>
      <c r="K37" s="25">
        <f t="shared" si="3"/>
        <v>1012.9032258064516</v>
      </c>
      <c r="L37" s="25">
        <f t="shared" si="3"/>
        <v>1206.4516129032259</v>
      </c>
      <c r="M37" s="25">
        <f t="shared" si="3"/>
        <v>1270.9677419354839</v>
      </c>
      <c r="N37" s="25">
        <f t="shared" si="3"/>
        <v>1277.4193548387098</v>
      </c>
      <c r="O37" s="25">
        <f t="shared" si="3"/>
        <v>1200</v>
      </c>
      <c r="P37" s="25">
        <f t="shared" si="3"/>
        <v>1083.8709677419354</v>
      </c>
      <c r="Q37" s="25">
        <f t="shared" ref="Q37:Y37" si="8">Q16*1000/$AE37</f>
        <v>841.93548387096769</v>
      </c>
      <c r="R37" s="25">
        <f t="shared" si="8"/>
        <v>506.45161290322579</v>
      </c>
      <c r="S37" s="25">
        <f t="shared" si="8"/>
        <v>93.548387096774192</v>
      </c>
      <c r="T37" s="25">
        <f t="shared" si="8"/>
        <v>0</v>
      </c>
      <c r="U37" s="25">
        <f t="shared" si="8"/>
        <v>0</v>
      </c>
      <c r="V37" s="25">
        <f t="shared" si="8"/>
        <v>0</v>
      </c>
      <c r="W37" s="25">
        <f t="shared" si="8"/>
        <v>0</v>
      </c>
      <c r="X37" s="25">
        <f t="shared" si="8"/>
        <v>0</v>
      </c>
      <c r="Y37" s="25">
        <f t="shared" si="8"/>
        <v>0</v>
      </c>
      <c r="Z37" s="26">
        <f t="shared" si="4"/>
        <v>9577.4193548387102</v>
      </c>
      <c r="AA37" s="27">
        <f t="shared" si="5"/>
        <v>798.11827956989248</v>
      </c>
      <c r="AB37" s="28">
        <f t="shared" si="6"/>
        <v>9760.0262984878373</v>
      </c>
      <c r="AC37" s="28">
        <f t="shared" si="7"/>
        <v>813.3355248739864</v>
      </c>
      <c r="AE37">
        <v>31</v>
      </c>
    </row>
    <row r="40" spans="1:31" x14ac:dyDescent="0.3">
      <c r="G40" s="25">
        <f>AVERAGE(H29:S29)</f>
        <v>682.77777777777771</v>
      </c>
      <c r="H40" s="25">
        <f>AVERAGEA(N26:N37)</f>
        <v>1222.3060675883255</v>
      </c>
    </row>
    <row r="43" spans="1:31" ht="28.8" x14ac:dyDescent="0.3">
      <c r="J43" t="s">
        <v>0</v>
      </c>
      <c r="K43" s="1" t="s">
        <v>64</v>
      </c>
    </row>
    <row r="44" spans="1:31" x14ac:dyDescent="0.3">
      <c r="J44" t="s">
        <v>46</v>
      </c>
      <c r="K44" s="29">
        <v>10670.967741935485</v>
      </c>
    </row>
    <row r="45" spans="1:31" x14ac:dyDescent="0.3">
      <c r="J45" t="s">
        <v>47</v>
      </c>
      <c r="K45" s="29">
        <v>10775</v>
      </c>
    </row>
    <row r="46" spans="1:31" x14ac:dyDescent="0.3">
      <c r="J46" t="s">
        <v>48</v>
      </c>
      <c r="K46" s="29">
        <v>10258.064516129032</v>
      </c>
    </row>
    <row r="47" spans="1:31" x14ac:dyDescent="0.3">
      <c r="J47" t="s">
        <v>49</v>
      </c>
      <c r="K47" s="29">
        <v>8193.3333333333321</v>
      </c>
    </row>
    <row r="48" spans="1:31" x14ac:dyDescent="0.3">
      <c r="J48" t="s">
        <v>8</v>
      </c>
      <c r="K48" s="29">
        <v>7341.9354838709669</v>
      </c>
    </row>
    <row r="49" spans="10:15" x14ac:dyDescent="0.3">
      <c r="J49" t="s">
        <v>50</v>
      </c>
      <c r="K49" s="29">
        <v>8143.333333333333</v>
      </c>
    </row>
    <row r="50" spans="10:15" x14ac:dyDescent="0.3">
      <c r="J50" t="s">
        <v>51</v>
      </c>
      <c r="K50" s="29">
        <v>8316.1290322580644</v>
      </c>
    </row>
    <row r="51" spans="10:15" x14ac:dyDescent="0.3">
      <c r="J51" t="s">
        <v>52</v>
      </c>
      <c r="K51" s="29">
        <v>8648.387096774195</v>
      </c>
    </row>
    <row r="52" spans="10:15" x14ac:dyDescent="0.3">
      <c r="J52" t="s">
        <v>53</v>
      </c>
      <c r="K52" s="29">
        <v>9053.3333333333321</v>
      </c>
    </row>
    <row r="53" spans="10:15" x14ac:dyDescent="0.3">
      <c r="J53" t="s">
        <v>54</v>
      </c>
      <c r="K53" s="29">
        <v>9158.0645161290322</v>
      </c>
    </row>
    <row r="54" spans="10:15" x14ac:dyDescent="0.3">
      <c r="J54" t="s">
        <v>55</v>
      </c>
      <c r="K54" s="29">
        <v>9656.6666666666679</v>
      </c>
    </row>
    <row r="55" spans="10:15" x14ac:dyDescent="0.3">
      <c r="J55" t="s">
        <v>56</v>
      </c>
      <c r="K55" s="29">
        <v>9577.4193548387102</v>
      </c>
    </row>
    <row r="63" spans="10:15" x14ac:dyDescent="0.3">
      <c r="J63" s="19" t="s">
        <v>0</v>
      </c>
      <c r="K63" s="29" t="s">
        <v>30</v>
      </c>
      <c r="L63" s="29" t="s">
        <v>31</v>
      </c>
      <c r="M63" s="29" t="s">
        <v>32</v>
      </c>
      <c r="N63" s="29" t="s">
        <v>33</v>
      </c>
      <c r="O63" s="29" t="s">
        <v>34</v>
      </c>
    </row>
    <row r="64" spans="10:15" x14ac:dyDescent="0.3">
      <c r="J64" t="s">
        <v>46</v>
      </c>
      <c r="K64" s="29">
        <v>1341.9354838709678</v>
      </c>
      <c r="L64" s="29">
        <v>1409.6774193548388</v>
      </c>
      <c r="M64" s="29">
        <v>1425.8064516129032</v>
      </c>
      <c r="N64" s="29">
        <v>1335.483870967742</v>
      </c>
      <c r="O64" s="29">
        <v>1206.4516129032259</v>
      </c>
    </row>
    <row r="65" spans="10:15" x14ac:dyDescent="0.3">
      <c r="J65" t="s">
        <v>47</v>
      </c>
      <c r="K65" s="29">
        <v>1353.5714285714287</v>
      </c>
      <c r="L65" s="29">
        <v>1425</v>
      </c>
      <c r="M65" s="29">
        <v>1439.2857142857142</v>
      </c>
      <c r="N65" s="29">
        <v>1350</v>
      </c>
      <c r="O65" s="29">
        <v>1221.4285714285713</v>
      </c>
    </row>
    <row r="66" spans="10:15" x14ac:dyDescent="0.3">
      <c r="J66" t="s">
        <v>48</v>
      </c>
      <c r="K66" s="29">
        <v>1287.0967741935483</v>
      </c>
      <c r="L66" s="29">
        <v>1354.8387096774193</v>
      </c>
      <c r="M66" s="29">
        <v>1367.741935483871</v>
      </c>
      <c r="N66" s="29">
        <v>1283.8709677419354</v>
      </c>
      <c r="O66" s="29">
        <v>1164.516129032258</v>
      </c>
    </row>
    <row r="67" spans="10:15" x14ac:dyDescent="0.3">
      <c r="J67" t="s">
        <v>49</v>
      </c>
      <c r="K67" s="29">
        <v>1030</v>
      </c>
      <c r="L67" s="29">
        <v>1083.3333333333333</v>
      </c>
      <c r="M67" s="29">
        <v>1093.3333333333333</v>
      </c>
      <c r="N67" s="29">
        <v>1026.6666666666667</v>
      </c>
      <c r="O67" s="29">
        <v>930</v>
      </c>
    </row>
    <row r="68" spans="10:15" x14ac:dyDescent="0.3">
      <c r="J68" t="s">
        <v>8</v>
      </c>
      <c r="K68" s="29">
        <v>922.58064516129036</v>
      </c>
      <c r="L68" s="29">
        <v>974.19354838709683</v>
      </c>
      <c r="M68" s="29">
        <v>983.87096774193549</v>
      </c>
      <c r="N68" s="29">
        <v>919.35483870967744</v>
      </c>
      <c r="O68" s="29">
        <v>832.25806451612902</v>
      </c>
    </row>
    <row r="69" spans="10:15" x14ac:dyDescent="0.3">
      <c r="J69" t="s">
        <v>50</v>
      </c>
      <c r="K69" s="29">
        <v>1023.3333333333334</v>
      </c>
      <c r="L69" s="29">
        <v>1080</v>
      </c>
      <c r="M69" s="29">
        <v>1090.0000000000002</v>
      </c>
      <c r="N69" s="29">
        <v>1023.3333333333334</v>
      </c>
      <c r="O69" s="29">
        <v>923.33333333333337</v>
      </c>
    </row>
    <row r="70" spans="10:15" x14ac:dyDescent="0.3">
      <c r="J70" t="s">
        <v>51</v>
      </c>
      <c r="K70" s="29">
        <v>1045.1612903225807</v>
      </c>
      <c r="L70" s="29">
        <v>1103.2258064516129</v>
      </c>
      <c r="M70" s="29">
        <v>1112.9032258064517</v>
      </c>
      <c r="N70" s="29">
        <v>1045.1612903225807</v>
      </c>
      <c r="O70" s="29">
        <v>941.93548387096769</v>
      </c>
    </row>
    <row r="71" spans="10:15" x14ac:dyDescent="0.3">
      <c r="J71" t="s">
        <v>52</v>
      </c>
      <c r="K71" s="29">
        <v>1087.0967741935483</v>
      </c>
      <c r="L71" s="29">
        <v>1148.3870967741937</v>
      </c>
      <c r="M71" s="29">
        <v>1158.0645161290322</v>
      </c>
      <c r="N71" s="29">
        <v>1083.8709677419354</v>
      </c>
      <c r="O71" s="29">
        <v>980.64516129032256</v>
      </c>
    </row>
    <row r="72" spans="10:15" x14ac:dyDescent="0.3">
      <c r="J72" t="s">
        <v>53</v>
      </c>
      <c r="K72" s="29">
        <v>1140</v>
      </c>
      <c r="L72" s="29">
        <v>1196.6666666666667</v>
      </c>
      <c r="M72" s="29">
        <v>1206.6666666666667</v>
      </c>
      <c r="N72" s="29">
        <v>1133.3333333333333</v>
      </c>
      <c r="O72" s="29">
        <v>1023.3333333333334</v>
      </c>
    </row>
    <row r="73" spans="10:15" x14ac:dyDescent="0.3">
      <c r="J73" t="s">
        <v>54</v>
      </c>
      <c r="K73" s="29">
        <v>1151.6129032258063</v>
      </c>
      <c r="L73" s="29">
        <v>1212.9032258064517</v>
      </c>
      <c r="M73" s="29">
        <v>1222.5806451612902</v>
      </c>
      <c r="N73" s="29">
        <v>1148.3870967741937</v>
      </c>
      <c r="O73" s="29">
        <v>1035.483870967742</v>
      </c>
    </row>
    <row r="74" spans="10:15" x14ac:dyDescent="0.3">
      <c r="J74" t="s">
        <v>55</v>
      </c>
      <c r="K74" s="29">
        <v>1210</v>
      </c>
      <c r="L74" s="29">
        <v>1276.6666666666667</v>
      </c>
      <c r="M74" s="29">
        <v>1290</v>
      </c>
      <c r="N74" s="29">
        <v>1210</v>
      </c>
      <c r="O74" s="29">
        <v>1093.3333333333333</v>
      </c>
    </row>
    <row r="75" spans="10:15" x14ac:dyDescent="0.3">
      <c r="J75" t="s">
        <v>56</v>
      </c>
      <c r="K75" s="29">
        <v>1206.4516129032259</v>
      </c>
      <c r="L75" s="29">
        <v>1270.9677419354839</v>
      </c>
      <c r="M75" s="29">
        <v>1277.4193548387098</v>
      </c>
      <c r="N75" s="29">
        <v>1200</v>
      </c>
      <c r="O75" s="29">
        <v>1083.8709677419354</v>
      </c>
    </row>
    <row r="80" spans="10:15" x14ac:dyDescent="0.3">
      <c r="K80" s="9">
        <f>AVERAGE(K64:O75)</f>
        <v>1153.3070916538661</v>
      </c>
    </row>
    <row r="92" spans="5:17" x14ac:dyDescent="0.3">
      <c r="E92" s="30" t="s">
        <v>0</v>
      </c>
      <c r="F92" s="31" t="s">
        <v>65</v>
      </c>
      <c r="G92" s="31" t="s">
        <v>66</v>
      </c>
      <c r="H92" s="31" t="s">
        <v>67</v>
      </c>
      <c r="I92" s="31" t="s">
        <v>68</v>
      </c>
      <c r="J92" s="31" t="s">
        <v>69</v>
      </c>
      <c r="K92" s="31" t="s">
        <v>70</v>
      </c>
      <c r="L92" s="31" t="s">
        <v>71</v>
      </c>
      <c r="M92" s="31" t="s">
        <v>72</v>
      </c>
      <c r="N92" s="31" t="s">
        <v>73</v>
      </c>
      <c r="O92" s="31" t="s">
        <v>74</v>
      </c>
      <c r="P92" s="31" t="s">
        <v>75</v>
      </c>
      <c r="Q92" s="31" t="s">
        <v>76</v>
      </c>
    </row>
    <row r="93" spans="5:17" x14ac:dyDescent="0.3">
      <c r="E93" s="32" t="s">
        <v>46</v>
      </c>
      <c r="F93" s="33">
        <v>32.258064516129032</v>
      </c>
      <c r="G93" s="33">
        <v>387.09677419354841</v>
      </c>
      <c r="H93" s="33">
        <v>783.87096774193549</v>
      </c>
      <c r="I93" s="33">
        <v>1129.0322580645161</v>
      </c>
      <c r="J93" s="33">
        <v>1341.9354838709678</v>
      </c>
      <c r="K93" s="33">
        <v>1409.6774193548388</v>
      </c>
      <c r="L93" s="33">
        <v>1425.8064516129032</v>
      </c>
      <c r="M93" s="33">
        <v>1335.483870967742</v>
      </c>
      <c r="N93" s="33">
        <v>1206.4516129032259</v>
      </c>
      <c r="O93" s="33">
        <v>941.93548387096769</v>
      </c>
      <c r="P93" s="33">
        <v>567.74193548387098</v>
      </c>
      <c r="Q93" s="33">
        <v>109.6774193548387</v>
      </c>
    </row>
    <row r="94" spans="5:17" x14ac:dyDescent="0.3">
      <c r="E94" s="32" t="s">
        <v>47</v>
      </c>
      <c r="F94" s="33">
        <v>32.142857142857146</v>
      </c>
      <c r="G94" s="33">
        <v>385.71428571428572</v>
      </c>
      <c r="H94" s="33">
        <v>789.28571428571433</v>
      </c>
      <c r="I94" s="33">
        <v>1135.7142857142858</v>
      </c>
      <c r="J94" s="33">
        <v>1353.5714285714287</v>
      </c>
      <c r="K94" s="33">
        <v>1425</v>
      </c>
      <c r="L94" s="33">
        <v>1439.2857142857142</v>
      </c>
      <c r="M94" s="33">
        <v>1350</v>
      </c>
      <c r="N94" s="33">
        <v>1221.4285714285713</v>
      </c>
      <c r="O94" s="33">
        <v>953.57142857142856</v>
      </c>
      <c r="P94" s="33">
        <v>575.00000000000011</v>
      </c>
      <c r="Q94" s="33">
        <v>114.28571428571429</v>
      </c>
    </row>
    <row r="95" spans="5:17" x14ac:dyDescent="0.3">
      <c r="E95" s="32" t="s">
        <v>48</v>
      </c>
      <c r="F95" s="33">
        <v>32.258064516129032</v>
      </c>
      <c r="G95" s="33">
        <v>370.96774193548384</v>
      </c>
      <c r="H95" s="33">
        <v>751.61290322580646</v>
      </c>
      <c r="I95" s="33">
        <v>1083.8709677419354</v>
      </c>
      <c r="J95" s="33">
        <v>1287.0967741935483</v>
      </c>
      <c r="K95" s="33">
        <v>1354.8387096774193</v>
      </c>
      <c r="L95" s="33">
        <v>1367.741935483871</v>
      </c>
      <c r="M95" s="33">
        <v>1283.8709677419354</v>
      </c>
      <c r="N95" s="33">
        <v>1164.516129032258</v>
      </c>
      <c r="O95" s="33">
        <v>909.67741935483866</v>
      </c>
      <c r="P95" s="33">
        <v>545.16129032258061</v>
      </c>
      <c r="Q95" s="33">
        <v>106.45161290322581</v>
      </c>
    </row>
    <row r="96" spans="5:17" x14ac:dyDescent="0.3">
      <c r="E96" s="32" t="s">
        <v>49</v>
      </c>
      <c r="F96" s="33">
        <v>26.666666666666668</v>
      </c>
      <c r="G96" s="33">
        <v>296.66666666666669</v>
      </c>
      <c r="H96" s="33">
        <v>600</v>
      </c>
      <c r="I96" s="33">
        <v>866.66666666666663</v>
      </c>
      <c r="J96" s="33">
        <v>1030</v>
      </c>
      <c r="K96" s="33">
        <v>1083.3333333333333</v>
      </c>
      <c r="L96" s="33">
        <v>1093.3333333333333</v>
      </c>
      <c r="M96" s="33">
        <v>1026.6666666666667</v>
      </c>
      <c r="N96" s="33">
        <v>930</v>
      </c>
      <c r="O96" s="33">
        <v>723.33333333333337</v>
      </c>
      <c r="P96" s="33">
        <v>433.33333333333331</v>
      </c>
      <c r="Q96" s="33">
        <v>83.333333333333329</v>
      </c>
    </row>
    <row r="97" spans="5:17" x14ac:dyDescent="0.3">
      <c r="E97" s="32" t="s">
        <v>8</v>
      </c>
      <c r="F97" s="33">
        <v>22.580645161290324</v>
      </c>
      <c r="G97" s="33">
        <v>264.51612903225805</v>
      </c>
      <c r="H97" s="33">
        <v>538.70967741935488</v>
      </c>
      <c r="I97" s="33">
        <v>774.19354838709683</v>
      </c>
      <c r="J97" s="33">
        <v>922.58064516129036</v>
      </c>
      <c r="K97" s="33">
        <v>974.19354838709683</v>
      </c>
      <c r="L97" s="33">
        <v>983.87096774193549</v>
      </c>
      <c r="M97" s="33">
        <v>919.35483870967744</v>
      </c>
      <c r="N97" s="33">
        <v>832.25806451612902</v>
      </c>
      <c r="O97" s="33">
        <v>648.38709677419354</v>
      </c>
      <c r="P97" s="33">
        <v>387.09677419354841</v>
      </c>
      <c r="Q97" s="33">
        <v>74.193548387096769</v>
      </c>
    </row>
    <row r="98" spans="5:17" x14ac:dyDescent="0.3">
      <c r="E98" s="32" t="s">
        <v>50</v>
      </c>
      <c r="F98" s="33">
        <v>26.666666666666668</v>
      </c>
      <c r="G98" s="33">
        <v>293.33333333333331</v>
      </c>
      <c r="H98" s="33">
        <v>596.66666666666663</v>
      </c>
      <c r="I98" s="33">
        <v>860</v>
      </c>
      <c r="J98" s="33">
        <v>1023.3333333333334</v>
      </c>
      <c r="K98" s="33">
        <v>1080</v>
      </c>
      <c r="L98" s="33">
        <v>1090.0000000000002</v>
      </c>
      <c r="M98" s="33">
        <v>1023.3333333333334</v>
      </c>
      <c r="N98" s="33">
        <v>923.33333333333337</v>
      </c>
      <c r="O98" s="33">
        <v>716.66666666666663</v>
      </c>
      <c r="P98" s="33">
        <v>430</v>
      </c>
      <c r="Q98" s="33">
        <v>80</v>
      </c>
    </row>
    <row r="99" spans="5:17" x14ac:dyDescent="0.3">
      <c r="E99" s="32" t="s">
        <v>51</v>
      </c>
      <c r="F99" s="33">
        <v>25.806451612903224</v>
      </c>
      <c r="G99" s="33">
        <v>300</v>
      </c>
      <c r="H99" s="33">
        <v>609.67741935483866</v>
      </c>
      <c r="I99" s="33">
        <v>877.41935483870964</v>
      </c>
      <c r="J99" s="33">
        <v>1045.1612903225807</v>
      </c>
      <c r="K99" s="33">
        <v>1103.2258064516129</v>
      </c>
      <c r="L99" s="33">
        <v>1112.9032258064517</v>
      </c>
      <c r="M99" s="33">
        <v>1045.1612903225807</v>
      </c>
      <c r="N99" s="33">
        <v>941.93548387096769</v>
      </c>
      <c r="O99" s="33">
        <v>732.25806451612902</v>
      </c>
      <c r="P99" s="33">
        <v>438.70967741935482</v>
      </c>
      <c r="Q99" s="33">
        <v>83.870967741935488</v>
      </c>
    </row>
    <row r="100" spans="5:17" x14ac:dyDescent="0.3">
      <c r="E100" s="32" t="s">
        <v>52</v>
      </c>
      <c r="F100" s="33">
        <v>25.806451612903224</v>
      </c>
      <c r="G100" s="33">
        <v>312.90322580645159</v>
      </c>
      <c r="H100" s="33">
        <v>632.25806451612902</v>
      </c>
      <c r="I100" s="33">
        <v>912.90322580645159</v>
      </c>
      <c r="J100" s="33">
        <v>1087.0967741935483</v>
      </c>
      <c r="K100" s="33">
        <v>1148.3870967741937</v>
      </c>
      <c r="L100" s="33">
        <v>1158.0645161290322</v>
      </c>
      <c r="M100" s="33">
        <v>1083.8709677419354</v>
      </c>
      <c r="N100" s="33">
        <v>980.64516129032256</v>
      </c>
      <c r="O100" s="33">
        <v>761.29032258064512</v>
      </c>
      <c r="P100" s="33">
        <v>458.06451612903226</v>
      </c>
      <c r="Q100" s="33">
        <v>87.096774193548384</v>
      </c>
    </row>
    <row r="101" spans="5:17" x14ac:dyDescent="0.3">
      <c r="E101" s="32" t="s">
        <v>53</v>
      </c>
      <c r="F101" s="33">
        <v>30</v>
      </c>
      <c r="G101" s="33">
        <v>330</v>
      </c>
      <c r="H101" s="33">
        <v>670</v>
      </c>
      <c r="I101" s="33">
        <v>960</v>
      </c>
      <c r="J101" s="33">
        <v>1140</v>
      </c>
      <c r="K101" s="33">
        <v>1196.6666666666667</v>
      </c>
      <c r="L101" s="33">
        <v>1206.6666666666667</v>
      </c>
      <c r="M101" s="33">
        <v>1133.3333333333333</v>
      </c>
      <c r="N101" s="33">
        <v>1023.3333333333334</v>
      </c>
      <c r="O101" s="33">
        <v>796.66666666666663</v>
      </c>
      <c r="P101" s="33">
        <v>476.66666666666669</v>
      </c>
      <c r="Q101" s="33">
        <v>90</v>
      </c>
    </row>
    <row r="102" spans="5:17" x14ac:dyDescent="0.3">
      <c r="E102" s="32" t="s">
        <v>54</v>
      </c>
      <c r="F102" s="33">
        <v>32.258064516129032</v>
      </c>
      <c r="G102" s="33">
        <v>335.48387096774195</v>
      </c>
      <c r="H102" s="33">
        <v>674.19354838709683</v>
      </c>
      <c r="I102" s="33">
        <v>970.9677419354839</v>
      </c>
      <c r="J102" s="33">
        <v>1151.6129032258063</v>
      </c>
      <c r="K102" s="33">
        <v>1212.9032258064517</v>
      </c>
      <c r="L102" s="33">
        <v>1222.5806451612902</v>
      </c>
      <c r="M102" s="33">
        <v>1148.3870967741937</v>
      </c>
      <c r="N102" s="33">
        <v>1035.483870967742</v>
      </c>
      <c r="O102" s="33">
        <v>806.45161290322585</v>
      </c>
      <c r="P102" s="33">
        <v>480.64516129032256</v>
      </c>
      <c r="Q102" s="33">
        <v>87.096774193548384</v>
      </c>
    </row>
    <row r="103" spans="5:17" x14ac:dyDescent="0.3">
      <c r="E103" s="32" t="s">
        <v>55</v>
      </c>
      <c r="F103" s="33">
        <v>30</v>
      </c>
      <c r="G103" s="33">
        <v>356.66666666666669</v>
      </c>
      <c r="H103" s="33">
        <v>713.33333333333337</v>
      </c>
      <c r="I103" s="33">
        <v>1023.3333333333334</v>
      </c>
      <c r="J103" s="33">
        <v>1210</v>
      </c>
      <c r="K103" s="33">
        <v>1276.6666666666667</v>
      </c>
      <c r="L103" s="33">
        <v>1290</v>
      </c>
      <c r="M103" s="33">
        <v>1210</v>
      </c>
      <c r="N103" s="33">
        <v>1093.3333333333333</v>
      </c>
      <c r="O103" s="33">
        <v>850</v>
      </c>
      <c r="P103" s="33">
        <v>510</v>
      </c>
      <c r="Q103" s="33">
        <v>93.333333333333329</v>
      </c>
    </row>
    <row r="104" spans="5:17" x14ac:dyDescent="0.3">
      <c r="E104" s="32" t="s">
        <v>56</v>
      </c>
      <c r="F104" s="33">
        <v>29.032258064516128</v>
      </c>
      <c r="G104" s="33">
        <v>348.38709677419354</v>
      </c>
      <c r="H104" s="33">
        <v>706.45161290322585</v>
      </c>
      <c r="I104" s="33">
        <v>1012.9032258064516</v>
      </c>
      <c r="J104" s="33">
        <v>1206.4516129032259</v>
      </c>
      <c r="K104" s="33">
        <v>1270.9677419354839</v>
      </c>
      <c r="L104" s="33">
        <v>1277.4193548387098</v>
      </c>
      <c r="M104" s="33">
        <v>1200</v>
      </c>
      <c r="N104" s="33">
        <v>1083.8709677419354</v>
      </c>
      <c r="O104" s="33">
        <v>841.93548387096769</v>
      </c>
      <c r="P104" s="33">
        <v>506.45161290322579</v>
      </c>
      <c r="Q104" s="33">
        <v>93.548387096774192</v>
      </c>
    </row>
  </sheetData>
  <mergeCells count="2">
    <mergeCell ref="Z23:AA23"/>
    <mergeCell ref="AB23:AC2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 Liyanage</dc:creator>
  <cp:lastModifiedBy>HP</cp:lastModifiedBy>
  <dcterms:created xsi:type="dcterms:W3CDTF">2026-05-29T03:38:22Z</dcterms:created>
  <dcterms:modified xsi:type="dcterms:W3CDTF">2026-06-09T00:07:21Z</dcterms:modified>
</cp:coreProperties>
</file>